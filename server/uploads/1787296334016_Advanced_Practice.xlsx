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Ex1.xml" ContentType="application/vnd.ms-office.chartex+xml"/>
  <Override PartName="/xl/charts/style21.xml" ContentType="application/vnd.ms-office.chartstyle+xml"/>
  <Override PartName="/xl/charts/colors21.xml" ContentType="application/vnd.ms-office.chartcolorstyle+xml"/>
  <Override PartName="/xl/charts/chartEx2.xml" ContentType="application/vnd.ms-office.chartex+xml"/>
  <Override PartName="/xl/charts/style22.xml" ContentType="application/vnd.ms-office.chartstyle+xml"/>
  <Override PartName="/xl/charts/colors22.xml" ContentType="application/vnd.ms-office.chartcolorstyle+xml"/>
  <Override PartName="/xl/charts/chartEx3.xml" ContentType="application/vnd.ms-office.chartex+xml"/>
  <Override PartName="/xl/charts/style23.xml" ContentType="application/vnd.ms-office.chartstyle+xml"/>
  <Override PartName="/xl/charts/colors23.xml" ContentType="application/vnd.ms-office.chartcolorstyle+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https://d.docs.live.net/4f073ac3c5d4eff2/Documents/sem 7/advance excel/advance/"/>
    </mc:Choice>
  </mc:AlternateContent>
  <xr:revisionPtr revIDLastSave="1" documentId="8_{B1AC2FC3-377A-4808-BBBD-E58312429993}" xr6:coauthVersionLast="47" xr6:coauthVersionMax="47" xr10:uidLastSave="{9A629D90-3626-44EA-8B45-DB5E8B53E529}"/>
  <bookViews>
    <workbookView xWindow="-108" yWindow="-108" windowWidth="23256" windowHeight="13176" firstSheet="7" activeTab="8" autoFilterDateGrouping="0" xr2:uid="{00000000-000D-0000-FFFF-FFFF00000000}"/>
  </bookViews>
  <sheets>
    <sheet name="Cell Ref" sheetId="2" r:id="rId1"/>
    <sheet name="Sample A" sheetId="55" r:id="rId2"/>
    <sheet name="Range Names" sheetId="54" r:id="rId3"/>
    <sheet name="Sample 1" sheetId="3" r:id="rId4"/>
    <sheet name="Array Formula" sheetId="5" r:id="rId5"/>
    <sheet name="Sample 2" sheetId="6" r:id="rId6"/>
    <sheet name="Dates" sheetId="43" r:id="rId7"/>
    <sheet name="If Functions" sheetId="51" r:id="rId8"/>
    <sheet name="Sample 11" sheetId="56" r:id="rId9"/>
    <sheet name="Vlookup &amp; HLookup" sheetId="52" r:id="rId10"/>
    <sheet name="Sample 5" sheetId="9" r:id="rId11"/>
    <sheet name="Exer1" sheetId="11" r:id="rId12"/>
    <sheet name="Vlookup_Exercise" sheetId="45" r:id="rId13"/>
    <sheet name="Pivot Tables" sheetId="26" r:id="rId14"/>
    <sheet name="Exer9" sheetId="29" r:id="rId15"/>
    <sheet name="Types of Charts" sheetId="47" r:id="rId16"/>
    <sheet name="Exer 9a" sheetId="36" r:id="rId17"/>
    <sheet name="What-if-analysis" sheetId="30" r:id="rId18"/>
    <sheet name="Sample 10" sheetId="50" r:id="rId19"/>
    <sheet name="Solver" sheetId="35" r:id="rId20"/>
    <sheet name="SUM IF &amp; COUNT IF &amp; SUM PROD" sheetId="48" r:id="rId21"/>
    <sheet name="Exer12" sheetId="49" r:id="rId22"/>
    <sheet name="Final Exam" sheetId="32" state="hidden" r:id="rId23"/>
  </sheets>
  <definedNames>
    <definedName name="_xlnm._FilterDatabase" localSheetId="6" hidden="1">Dates!$I$4:$M$4</definedName>
    <definedName name="_xlnm._FilterDatabase" localSheetId="21" hidden="1">Exer12!$B$2:$I$215</definedName>
    <definedName name="_xlnm._FilterDatabase" localSheetId="8" hidden="1">'Sample 11'!$B$3:$S$3</definedName>
    <definedName name="_xlchart.v1.3" hidden="1">'Types of Charts'!$G$1002:$G$1009</definedName>
    <definedName name="_xlchart.v1.4" hidden="1">'Types of Charts'!$J$1001</definedName>
    <definedName name="_xlchart.v1.5" hidden="1">'Types of Charts'!$J$1002:$J$1009</definedName>
    <definedName name="_xlchart.v1.6" hidden="1">'Types of Charts'!$H$925:$H$935</definedName>
    <definedName name="_xlchart.v1.7" hidden="1">'Types of Charts'!$I$924</definedName>
    <definedName name="_xlchart.v1.8" hidden="1">'Types of Charts'!$I$925:$I$935</definedName>
    <definedName name="_xlchart.v2.0" hidden="1">'Types of Charts'!$H$970:$H$975</definedName>
    <definedName name="_xlchart.v2.1" hidden="1">'Types of Charts'!$I$969</definedName>
    <definedName name="_xlchart.v2.2" hidden="1">'Types of Charts'!$I$970:$I$975</definedName>
    <definedName name="BASIC">'Sample 1'!$E$2:$E$6</definedName>
    <definedName name="solver_adj" localSheetId="19" hidden="1">Solver!$C$3:$C$4,Solver!$C$8</definedName>
    <definedName name="solver_cvg" localSheetId="19" hidden="1">0.0001</definedName>
    <definedName name="solver_drv" localSheetId="19" hidden="1">1</definedName>
    <definedName name="solver_eng" localSheetId="19" hidden="1">1</definedName>
    <definedName name="solver_est" localSheetId="19" hidden="1">1</definedName>
    <definedName name="solver_itr" localSheetId="19" hidden="1">2147483647</definedName>
    <definedName name="solver_lhs1" localSheetId="19" hidden="1">Solver!$C$3</definedName>
    <definedName name="solver_lhs2" localSheetId="19" hidden="1">Solver!$C$4</definedName>
    <definedName name="solver_lhs3" localSheetId="19" hidden="1">Solver!$C$8</definedName>
    <definedName name="solver_lhs4" localSheetId="19" hidden="1">Solver!$C$8</definedName>
    <definedName name="solver_mip" localSheetId="19" hidden="1">2147483647</definedName>
    <definedName name="solver_mni" localSheetId="19" hidden="1">30</definedName>
    <definedName name="solver_mrt" localSheetId="19" hidden="1">0.075</definedName>
    <definedName name="solver_msl" localSheetId="19" hidden="1">2</definedName>
    <definedName name="solver_neg" localSheetId="19" hidden="1">1</definedName>
    <definedName name="solver_nod" localSheetId="19" hidden="1">2147483647</definedName>
    <definedName name="solver_num" localSheetId="19" hidden="1">3</definedName>
    <definedName name="solver_nwt" localSheetId="19" hidden="1">1</definedName>
    <definedName name="solver_opt" localSheetId="19" hidden="1">Solver!$C$11</definedName>
    <definedName name="solver_pre" localSheetId="19" hidden="1">0.000001</definedName>
    <definedName name="solver_rbv" localSheetId="19" hidden="1">1</definedName>
    <definedName name="solver_rel1" localSheetId="19" hidden="1">4</definedName>
    <definedName name="solver_rel2" localSheetId="19" hidden="1">1</definedName>
    <definedName name="solver_rel3" localSheetId="19" hidden="1">1</definedName>
    <definedName name="solver_rel4" localSheetId="19" hidden="1">1</definedName>
    <definedName name="solver_rhs1" localSheetId="19" hidden="1">"integer"</definedName>
    <definedName name="solver_rhs2" localSheetId="19" hidden="1">4</definedName>
    <definedName name="solver_rhs3" localSheetId="19" hidden="1">1.5</definedName>
    <definedName name="solver_rhs4" localSheetId="19" hidden="1">1.5</definedName>
    <definedName name="solver_rlx" localSheetId="19" hidden="1">2</definedName>
    <definedName name="solver_rsd" localSheetId="19" hidden="1">0</definedName>
    <definedName name="solver_scl" localSheetId="19" hidden="1">1</definedName>
    <definedName name="solver_sho" localSheetId="19" hidden="1">2</definedName>
    <definedName name="solver_ssz" localSheetId="19" hidden="1">100</definedName>
    <definedName name="solver_tim" localSheetId="19" hidden="1">2147483647</definedName>
    <definedName name="solver_tol" localSheetId="19" hidden="1">0.01</definedName>
    <definedName name="solver_typ" localSheetId="19" hidden="1">3</definedName>
    <definedName name="solver_val" localSheetId="19" hidden="1">4200</definedName>
    <definedName name="solver_ver" localSheetId="19"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11" l="1"/>
  <c r="I6" i="11"/>
  <c r="I7" i="11"/>
  <c r="I8" i="11"/>
  <c r="I3" i="11"/>
  <c r="I4" i="11"/>
  <c r="H4" i="11"/>
  <c r="H5" i="11"/>
  <c r="H6" i="11"/>
  <c r="H7" i="11"/>
  <c r="H8" i="11"/>
  <c r="H3" i="11"/>
  <c r="J3" i="11"/>
  <c r="J4" i="11"/>
  <c r="J5" i="11"/>
  <c r="J6" i="11"/>
  <c r="J7" i="11"/>
  <c r="J8" i="11"/>
  <c r="P5" i="56"/>
  <c r="P6" i="56"/>
  <c r="P7" i="56"/>
  <c r="P8" i="56"/>
  <c r="P9" i="56"/>
  <c r="P10" i="56"/>
  <c r="P11" i="56"/>
  <c r="S11" i="56" s="1"/>
  <c r="P12" i="56"/>
  <c r="S12" i="56" s="1"/>
  <c r="P13" i="56"/>
  <c r="P14" i="56"/>
  <c r="P15" i="56"/>
  <c r="P4" i="56"/>
  <c r="G4" i="11"/>
  <c r="G5" i="11"/>
  <c r="G6" i="11"/>
  <c r="G7" i="11"/>
  <c r="G8" i="11"/>
  <c r="G3" i="11"/>
  <c r="S9" i="56"/>
  <c r="S10" i="56"/>
  <c r="O4" i="56"/>
  <c r="C6" i="45"/>
  <c r="C7" i="45"/>
  <c r="C8" i="45"/>
  <c r="C9" i="45"/>
  <c r="C10" i="45"/>
  <c r="C11" i="45"/>
  <c r="C12" i="45"/>
  <c r="C13" i="45"/>
  <c r="C14" i="45"/>
  <c r="C15" i="45"/>
  <c r="C16" i="45"/>
  <c r="C17" i="45"/>
  <c r="C18" i="45"/>
  <c r="C19" i="45"/>
  <c r="C20" i="45"/>
  <c r="C21" i="45"/>
  <c r="C22" i="45"/>
  <c r="C23" i="45"/>
  <c r="C24" i="45"/>
  <c r="C25" i="45"/>
  <c r="C26" i="45"/>
  <c r="C27" i="45"/>
  <c r="C28" i="45"/>
  <c r="C29" i="45"/>
  <c r="C30" i="45"/>
  <c r="C31" i="45"/>
  <c r="C32" i="45"/>
  <c r="C33" i="45"/>
  <c r="C34" i="45"/>
  <c r="C35" i="45"/>
  <c r="C36" i="45"/>
  <c r="C37" i="45"/>
  <c r="C5" i="45"/>
  <c r="J6" i="45"/>
  <c r="J7" i="45"/>
  <c r="J8" i="45"/>
  <c r="J9" i="45"/>
  <c r="J10" i="45"/>
  <c r="J11" i="45"/>
  <c r="J12" i="45"/>
  <c r="J13" i="45"/>
  <c r="J14" i="45"/>
  <c r="J15" i="45"/>
  <c r="J16" i="45"/>
  <c r="J17" i="45"/>
  <c r="J18" i="45"/>
  <c r="J19" i="45"/>
  <c r="J20" i="45"/>
  <c r="J21" i="45"/>
  <c r="J22" i="45"/>
  <c r="J23" i="45"/>
  <c r="J24" i="45"/>
  <c r="J25" i="45"/>
  <c r="J26" i="45"/>
  <c r="J27" i="45"/>
  <c r="J28" i="45"/>
  <c r="J29" i="45"/>
  <c r="J30" i="45"/>
  <c r="J31" i="45"/>
  <c r="J32" i="45"/>
  <c r="J33" i="45"/>
  <c r="J34" i="45"/>
  <c r="J35" i="45"/>
  <c r="J36" i="45"/>
  <c r="J37" i="45"/>
  <c r="J38" i="45"/>
  <c r="J39" i="45"/>
  <c r="J40" i="45"/>
  <c r="J41" i="45"/>
  <c r="J5" i="45"/>
  <c r="N6" i="56"/>
  <c r="S6" i="56" s="1"/>
  <c r="N7" i="56"/>
  <c r="S7" i="56" s="1"/>
  <c r="N8" i="56"/>
  <c r="N9" i="56"/>
  <c r="N10" i="56"/>
  <c r="N11" i="56"/>
  <c r="N12" i="56"/>
  <c r="N13" i="56"/>
  <c r="S13" i="56" s="1"/>
  <c r="N14" i="56"/>
  <c r="S14" i="56" s="1"/>
  <c r="N15" i="56"/>
  <c r="S15" i="56" s="1"/>
  <c r="N4" i="56"/>
  <c r="N5" i="56"/>
  <c r="R5" i="56"/>
  <c r="R6" i="56"/>
  <c r="R7" i="56"/>
  <c r="R8" i="56"/>
  <c r="R9" i="56"/>
  <c r="R10" i="56"/>
  <c r="R11" i="56"/>
  <c r="R12" i="56"/>
  <c r="R13" i="56"/>
  <c r="R14" i="56"/>
  <c r="R15" i="56"/>
  <c r="R4" i="56"/>
  <c r="Q5" i="56"/>
  <c r="Q6" i="56"/>
  <c r="Q7" i="56"/>
  <c r="Q8" i="56"/>
  <c r="Q9" i="56"/>
  <c r="Q10" i="56"/>
  <c r="Q11" i="56"/>
  <c r="Q12" i="56"/>
  <c r="Q13" i="56"/>
  <c r="Q14" i="56"/>
  <c r="Q15" i="56"/>
  <c r="Q4" i="56"/>
  <c r="L5" i="56"/>
  <c r="L6" i="56"/>
  <c r="L7" i="56"/>
  <c r="L8" i="56"/>
  <c r="L9" i="56"/>
  <c r="L10" i="56"/>
  <c r="L11" i="56"/>
  <c r="L12" i="56"/>
  <c r="L13" i="56"/>
  <c r="L14" i="56"/>
  <c r="L15" i="56"/>
  <c r="L4" i="56"/>
  <c r="O5" i="56"/>
  <c r="O6" i="56"/>
  <c r="O7" i="56"/>
  <c r="O8" i="56"/>
  <c r="O9" i="56"/>
  <c r="O10" i="56"/>
  <c r="O11" i="56"/>
  <c r="O12" i="56"/>
  <c r="O13" i="56"/>
  <c r="O14" i="56"/>
  <c r="O15" i="56"/>
  <c r="M15" i="56"/>
  <c r="M5" i="56"/>
  <c r="M6" i="56"/>
  <c r="M7" i="56"/>
  <c r="M8" i="56"/>
  <c r="M9" i="56"/>
  <c r="M10" i="56"/>
  <c r="M11" i="56"/>
  <c r="M12" i="56"/>
  <c r="M13" i="56"/>
  <c r="M14" i="56"/>
  <c r="M4" i="56"/>
  <c r="L6" i="43"/>
  <c r="L7" i="43"/>
  <c r="L8" i="43"/>
  <c r="L9" i="43"/>
  <c r="L11" i="43"/>
  <c r="L12" i="43"/>
  <c r="L13" i="43"/>
  <c r="L5" i="43"/>
  <c r="K6" i="43"/>
  <c r="K7" i="43"/>
  <c r="K8" i="43"/>
  <c r="K9" i="43"/>
  <c r="K11" i="43"/>
  <c r="K12" i="43"/>
  <c r="K13" i="43"/>
  <c r="K5" i="43"/>
  <c r="J6" i="43"/>
  <c r="J7" i="43"/>
  <c r="J8" i="43"/>
  <c r="M8" i="43" s="1"/>
  <c r="J9" i="43"/>
  <c r="J11" i="43"/>
  <c r="M11" i="43" s="1"/>
  <c r="J12" i="43"/>
  <c r="M12" i="43" s="1"/>
  <c r="J13" i="43"/>
  <c r="M13" i="43" s="1"/>
  <c r="J5" i="43"/>
  <c r="M5" i="43" s="1"/>
  <c r="E6" i="43"/>
  <c r="E7" i="43"/>
  <c r="E8" i="43"/>
  <c r="E9" i="43"/>
  <c r="E10" i="43"/>
  <c r="E11" i="43"/>
  <c r="E12" i="43"/>
  <c r="E13" i="43"/>
  <c r="E5" i="43"/>
  <c r="D11" i="6" a="1"/>
  <c r="D11" i="6" s="1"/>
  <c r="E8" i="6"/>
  <c r="E3" i="6"/>
  <c r="E4" i="6"/>
  <c r="E5" i="6"/>
  <c r="E6" i="6"/>
  <c r="E7" i="6"/>
  <c r="E2" i="6"/>
  <c r="E13" i="3"/>
  <c r="E12" i="3"/>
  <c r="E11" i="3"/>
  <c r="E10" i="3"/>
  <c r="E9" i="3"/>
  <c r="H26" i="55"/>
  <c r="I26" i="55"/>
  <c r="J26" i="55"/>
  <c r="K26" i="55"/>
  <c r="H27" i="55"/>
  <c r="I27" i="55"/>
  <c r="J27" i="55"/>
  <c r="K27" i="55"/>
  <c r="H28" i="55"/>
  <c r="I28" i="55"/>
  <c r="J28" i="55"/>
  <c r="K28" i="55"/>
  <c r="H29" i="55"/>
  <c r="I29" i="55"/>
  <c r="J29" i="55"/>
  <c r="K29" i="55"/>
  <c r="H30" i="55"/>
  <c r="I30" i="55"/>
  <c r="J30" i="55"/>
  <c r="K30" i="55"/>
  <c r="G27" i="55"/>
  <c r="G28" i="55"/>
  <c r="G29" i="55"/>
  <c r="G30" i="55"/>
  <c r="G26" i="55"/>
  <c r="G16" i="55"/>
  <c r="G17" i="55"/>
  <c r="G18" i="55"/>
  <c r="G19" i="55"/>
  <c r="G15" i="55"/>
  <c r="G5" i="55"/>
  <c r="G6" i="55"/>
  <c r="G7" i="55"/>
  <c r="G8" i="55"/>
  <c r="G4" i="55"/>
  <c r="H52" i="56"/>
  <c r="H51" i="56"/>
  <c r="H50" i="56"/>
  <c r="H49" i="56"/>
  <c r="H48" i="56"/>
  <c r="J16" i="56"/>
  <c r="I16" i="56"/>
  <c r="H16" i="56"/>
  <c r="H4" i="55"/>
  <c r="S5" i="56" l="1"/>
  <c r="S8" i="56"/>
  <c r="P16" i="56"/>
  <c r="S4" i="56"/>
  <c r="R16" i="56"/>
  <c r="Q16" i="56"/>
  <c r="N16" i="56"/>
  <c r="O16" i="56"/>
  <c r="M16" i="56"/>
  <c r="L16" i="56"/>
  <c r="M6" i="43"/>
  <c r="M7" i="43"/>
  <c r="M9" i="43"/>
  <c r="I9" i="11"/>
  <c r="D7" i="50"/>
  <c r="P41" i="49"/>
  <c r="O41" i="49"/>
  <c r="N41" i="49"/>
  <c r="M41" i="49"/>
  <c r="L41" i="49"/>
  <c r="Q40" i="49"/>
  <c r="Q39" i="49"/>
  <c r="Q38" i="49"/>
  <c r="Q37" i="49"/>
  <c r="Q36" i="49"/>
  <c r="P28" i="49"/>
  <c r="O28" i="49"/>
  <c r="N28" i="49"/>
  <c r="M28" i="49"/>
  <c r="L28" i="49"/>
  <c r="Q27" i="49"/>
  <c r="Q26" i="49"/>
  <c r="Q25" i="49"/>
  <c r="Q24" i="49"/>
  <c r="Q23" i="49"/>
  <c r="M17" i="49"/>
  <c r="L17" i="49"/>
  <c r="M8" i="49"/>
  <c r="L8" i="49"/>
  <c r="I1010" i="47"/>
  <c r="J1009" i="47" s="1"/>
  <c r="H1010" i="47"/>
  <c r="J900" i="47"/>
  <c r="K900" i="47" s="1"/>
  <c r="J899" i="47"/>
  <c r="K899" i="47" s="1"/>
  <c r="J898" i="47"/>
  <c r="K898" i="47" s="1"/>
  <c r="J897" i="47"/>
  <c r="K897" i="47" s="1"/>
  <c r="J1002" i="47" l="1"/>
  <c r="Q28" i="49"/>
  <c r="Q41" i="49"/>
  <c r="J1005" i="47"/>
  <c r="J1006" i="47"/>
  <c r="J1004" i="47"/>
  <c r="J1007" i="47"/>
  <c r="J1003" i="47"/>
  <c r="J1010" i="47" s="1"/>
  <c r="J1008" i="47"/>
  <c r="U13" i="43" l="1"/>
  <c r="V13" i="43" s="1"/>
  <c r="U12" i="43"/>
  <c r="V12" i="43" s="1"/>
  <c r="U11" i="43"/>
  <c r="V11" i="43" s="1"/>
  <c r="U10" i="43"/>
  <c r="V10" i="43" s="1"/>
  <c r="I10" i="43"/>
  <c r="U9" i="43"/>
  <c r="V9" i="43" s="1"/>
  <c r="U8" i="43"/>
  <c r="V8" i="43" s="1"/>
  <c r="U7" i="43"/>
  <c r="V7" i="43" s="1"/>
  <c r="U6" i="43"/>
  <c r="V6" i="43" s="1"/>
  <c r="U5" i="43"/>
  <c r="X5" i="43" l="1"/>
  <c r="V5" i="43"/>
  <c r="W12" i="43"/>
  <c r="X12" i="43"/>
  <c r="W6" i="43"/>
  <c r="X6" i="43"/>
  <c r="W13" i="43"/>
  <c r="X13" i="43"/>
  <c r="W7" i="43"/>
  <c r="X7" i="43"/>
  <c r="W11" i="43"/>
  <c r="X11" i="43"/>
  <c r="W8" i="43"/>
  <c r="X8" i="43"/>
  <c r="W9" i="43"/>
  <c r="X9" i="43"/>
  <c r="W10" i="43"/>
  <c r="X10" i="43"/>
  <c r="W5" i="43"/>
  <c r="K10" i="43"/>
  <c r="L10" i="43"/>
  <c r="J10" i="43"/>
  <c r="E31" i="35"/>
  <c r="E30" i="35"/>
  <c r="E29" i="35"/>
  <c r="E28" i="35"/>
  <c r="E27" i="35"/>
  <c r="E26" i="35"/>
  <c r="E25" i="35"/>
  <c r="E24" i="35"/>
  <c r="E23" i="35"/>
  <c r="C9" i="35"/>
  <c r="C5" i="35"/>
  <c r="Y5" i="43" l="1"/>
  <c r="Y13" i="43"/>
  <c r="Y11" i="43"/>
  <c r="Y10" i="43"/>
  <c r="Y9" i="43"/>
  <c r="Y8" i="43"/>
  <c r="Y6" i="43"/>
  <c r="Y12" i="43"/>
  <c r="Y7" i="43"/>
  <c r="M10" i="43"/>
  <c r="E32" i="35"/>
  <c r="C11" i="35"/>
  <c r="M13" i="9" l="1"/>
  <c r="M14" i="9" s="1"/>
  <c r="N13" i="9"/>
  <c r="O13" i="9"/>
  <c r="P13" i="9"/>
  <c r="P14" i="9" s="1"/>
  <c r="P15" i="9" s="1"/>
  <c r="Q13" i="9"/>
  <c r="Q14" i="9" s="1"/>
  <c r="Q15" i="9" s="1"/>
  <c r="R13" i="9"/>
  <c r="R14" i="9" s="1"/>
  <c r="R15" i="9" s="1"/>
  <c r="K9" i="11"/>
  <c r="J9" i="11"/>
  <c r="H9" i="11"/>
  <c r="G9" i="11"/>
  <c r="E7" i="9"/>
  <c r="F7" i="9" s="1"/>
  <c r="G7" i="9" s="1"/>
  <c r="E6" i="9"/>
  <c r="F6" i="9" s="1"/>
  <c r="G6" i="9" s="1"/>
  <c r="E5" i="9"/>
  <c r="E4" i="9"/>
  <c r="F4" i="9" s="1"/>
  <c r="E3" i="9"/>
  <c r="E2" i="9"/>
  <c r="F2" i="9" s="1"/>
  <c r="M15" i="9" l="1"/>
  <c r="M16" i="9" s="1"/>
  <c r="M17" i="9" s="1"/>
  <c r="Q16" i="9"/>
  <c r="Q17" i="9" s="1"/>
  <c r="P16" i="9"/>
  <c r="P17" i="9" s="1"/>
  <c r="R16" i="9"/>
  <c r="R17" i="9" s="1"/>
  <c r="O14" i="9"/>
  <c r="O15" i="9" s="1"/>
  <c r="N14" i="9"/>
  <c r="N15" i="9" s="1"/>
  <c r="H7" i="9"/>
  <c r="I7" i="9" s="1"/>
  <c r="H6" i="9"/>
  <c r="I6" i="9" s="1"/>
  <c r="F5" i="9"/>
  <c r="G5" i="9" s="1"/>
  <c r="G2" i="9"/>
  <c r="F3" i="9"/>
  <c r="G3" i="9" s="1"/>
  <c r="G4" i="9"/>
  <c r="O16" i="9" l="1"/>
  <c r="O17" i="9" s="1"/>
  <c r="N16" i="9"/>
  <c r="N17" i="9" s="1"/>
  <c r="H5" i="9"/>
  <c r="I5" i="9" s="1"/>
  <c r="H3" i="9"/>
  <c r="I3" i="9" s="1"/>
  <c r="H4" i="9"/>
  <c r="I4" i="9"/>
  <c r="H2" i="9"/>
  <c r="I2" i="9" s="1"/>
</calcChain>
</file>

<file path=xl/sharedStrings.xml><?xml version="1.0" encoding="utf-8"?>
<sst xmlns="http://schemas.openxmlformats.org/spreadsheetml/2006/main" count="3092" uniqueCount="1121">
  <si>
    <t>Objective:</t>
  </si>
  <si>
    <t>After completing this chapter, you will be able to know</t>
  </si>
  <si>
    <t>•    Meaning and usage of cell references.</t>
  </si>
  <si>
    <t>•    Type of cell references.</t>
  </si>
  <si>
    <t>•    Usage of range names.</t>
  </si>
  <si>
    <t>Why Use Different Types of References?</t>
  </si>
  <si>
    <t>When we copy a reference from one cell to another, it gets updated automatically. Say, we have a reference in cell C1 as A1 and we copy the same to D1, it automatically updates itself to B1. Sometimes, we need to keep a part of the used cell references as constant. This can be done using different types of cell references.</t>
  </si>
  <si>
    <t>Types of Cell Reference:</t>
  </si>
  <si>
    <t>There are three types of cell references as mentioned below;</t>
  </si>
  <si>
    <r>
      <t>1)    </t>
    </r>
    <r>
      <rPr>
        <sz val="12"/>
        <color rgb="FF333333"/>
        <rFont val="Times New Roman"/>
        <family val="1"/>
      </rPr>
      <t>Relative cell references</t>
    </r>
  </si>
  <si>
    <r>
      <t>2)    </t>
    </r>
    <r>
      <rPr>
        <sz val="12"/>
        <color rgb="FF333333"/>
        <rFont val="Times New Roman"/>
        <family val="1"/>
      </rPr>
      <t>Absolute cell references</t>
    </r>
  </si>
  <si>
    <r>
      <t>3)    </t>
    </r>
    <r>
      <rPr>
        <sz val="12"/>
        <color rgb="FF333333"/>
        <rFont val="Times New Roman"/>
        <family val="1"/>
      </rPr>
      <t>Mixed cell references</t>
    </r>
  </si>
  <si>
    <t>Relative Cell References</t>
  </si>
  <si>
    <t>Relative references are the default cell references in Excel. When you copy and paste a relative cell reference, it is updated automatically to suit the cell in which it is pasted. For Example,</t>
  </si>
  <si>
    <t>If you want to calculate HRA as 50% of basic, you can write the formula =H2*50%</t>
  </si>
  <si>
    <t>EMPNO</t>
  </si>
  <si>
    <t>NAME</t>
  </si>
  <si>
    <t>DESG</t>
  </si>
  <si>
    <t>Branch</t>
  </si>
  <si>
    <t>BASIC</t>
  </si>
  <si>
    <t>RAJ</t>
  </si>
  <si>
    <t>OFFICER</t>
  </si>
  <si>
    <t>Mumbai</t>
  </si>
  <si>
    <t>RAJESH</t>
  </si>
  <si>
    <t>CLERK</t>
  </si>
  <si>
    <t>ANAND</t>
  </si>
  <si>
    <t>MANAGER</t>
  </si>
  <si>
    <t>Delhi</t>
  </si>
  <si>
    <t>RAJU</t>
  </si>
  <si>
    <t>HEMANT</t>
  </si>
  <si>
    <t>Try the Sample 1 exercise and you may drag the formula down till the last record.</t>
  </si>
  <si>
    <r>
      <t>Tips</t>
    </r>
    <r>
      <rPr>
        <sz val="12"/>
        <color rgb="FF333333"/>
        <rFont val="Times New Roman"/>
        <family val="1"/>
      </rPr>
      <t>: Select the cells to fill and Press Ctrl + D to fill the range or double click on fill handle</t>
    </r>
  </si>
  <si>
    <t>Absolute Cell references</t>
  </si>
  <si>
    <r>
      <t>When you want to freeze a cell reference or you do not want a reference to change when you copy a formula, you can use absolute cell references. To make a cell reference absolute, we place a </t>
    </r>
    <r>
      <rPr>
        <b/>
        <sz val="12"/>
        <color rgb="FF333333"/>
        <rFont val="Times New Roman"/>
        <family val="1"/>
      </rPr>
      <t>dollar ($) </t>
    </r>
    <r>
      <rPr>
        <sz val="12"/>
        <color rgb="FF333333"/>
        <rFont val="Times New Roman"/>
        <family val="1"/>
      </rPr>
      <t>sign before the column name and row number of the reference.</t>
    </r>
  </si>
  <si>
    <t>Assume you want to calculate 10% of all Basic Salary in Sample 1</t>
  </si>
  <si>
    <r>
      <t>If you write as above, the formula when copied to the right would change itself to </t>
    </r>
    <r>
      <rPr>
        <b/>
        <sz val="12"/>
        <color rgb="FF333333"/>
        <rFont val="Times New Roman"/>
        <family val="1"/>
      </rPr>
      <t>c1*b2, d1*c2</t>
    </r>
    <r>
      <rPr>
        <sz val="12"/>
        <color rgb="FF333333"/>
        <rFont val="Times New Roman"/>
        <family val="1"/>
      </rPr>
      <t>etc. However, this is not the right calculation. We would need to freeze the cell reference </t>
    </r>
    <r>
      <rPr>
        <b/>
        <sz val="12"/>
        <color rgb="FF333333"/>
        <rFont val="Times New Roman"/>
        <family val="1"/>
      </rPr>
      <t>A2,</t>
    </r>
    <r>
      <rPr>
        <sz val="12"/>
        <color rgb="FF333333"/>
        <rFont val="Times New Roman"/>
        <family val="1"/>
      </rPr>
      <t> such that is remains the same each time we copy the formula.</t>
    </r>
  </si>
  <si>
    <r>
      <t>Here, </t>
    </r>
    <r>
      <rPr>
        <b/>
        <sz val="12"/>
        <color rgb="FF333333"/>
        <rFont val="Times New Roman"/>
        <family val="1"/>
      </rPr>
      <t>A2</t>
    </r>
    <r>
      <rPr>
        <sz val="12"/>
        <color rgb="FF333333"/>
        <rFont val="Times New Roman"/>
        <family val="1"/>
      </rPr>
      <t> need to be changed to </t>
    </r>
    <r>
      <rPr>
        <b/>
        <sz val="12"/>
        <color rgb="FF333333"/>
        <rFont val="Times New Roman"/>
        <family val="1"/>
      </rPr>
      <t>$A$2</t>
    </r>
    <r>
      <rPr>
        <sz val="12"/>
        <color rgb="FF333333"/>
        <rFont val="Times New Roman"/>
        <family val="1"/>
      </rPr>
      <t> to achieve the required output.</t>
    </r>
  </si>
  <si>
    <r>
      <t>Tips</t>
    </r>
    <r>
      <rPr>
        <sz val="12"/>
        <color rgb="FF333333"/>
        <rFont val="Times New Roman"/>
        <family val="1"/>
      </rPr>
      <t>: First select the cells from B2 to F2 and then press Ctrl+R keys. This would copy the formula from B2 in C2, D2, E2 and F2.</t>
    </r>
  </si>
  <si>
    <t>Once this is done, we can see that, the formula when copied gives the required output</t>
  </si>
  <si>
    <t>Mixed Cell References</t>
  </si>
  <si>
    <t>However at times you may want to freeze only the row or column in a cell reference. In the below example, we need to calculate 10%, 20%, 30%, 40% and 50% of 1000, 2000, 3000, 4000…… and so on.</t>
  </si>
  <si>
    <r>
      <t>If you drag the formula towards the right it changes to </t>
    </r>
    <r>
      <rPr>
        <b/>
        <sz val="12"/>
        <color rgb="FF333333"/>
        <rFont val="Times New Roman"/>
        <family val="1"/>
      </rPr>
      <t>c2*b3, d2*c3</t>
    </r>
    <r>
      <rPr>
        <sz val="12"/>
        <color rgb="FF333333"/>
        <rFont val="Times New Roman"/>
        <family val="1"/>
      </rPr>
      <t>etc and once dragged down it would change to </t>
    </r>
    <r>
      <rPr>
        <b/>
        <sz val="12"/>
        <color rgb="FF333333"/>
        <rFont val="Times New Roman"/>
        <family val="1"/>
      </rPr>
      <t>b3*a4, b4*a5</t>
    </r>
    <r>
      <rPr>
        <sz val="12"/>
        <color rgb="FF333333"/>
        <rFont val="Times New Roman"/>
        <family val="1"/>
      </rPr>
      <t>etc</t>
    </r>
  </si>
  <si>
    <t>However these are not the right formulae.</t>
  </si>
  <si>
    <r>
      <t>If we observe closely, we can see that, if we need to get the right answer, we would need to freeze the row number of </t>
    </r>
    <r>
      <rPr>
        <b/>
        <sz val="12"/>
        <color rgb="FF333333"/>
        <rFont val="Times New Roman"/>
        <family val="1"/>
      </rPr>
      <t>B2</t>
    </r>
    <r>
      <rPr>
        <sz val="12"/>
        <color rgb="FF333333"/>
        <rFont val="Times New Roman"/>
        <family val="1"/>
      </rPr>
      <t> (as it is common for all the formulae right and down) and the column name for </t>
    </r>
    <r>
      <rPr>
        <b/>
        <sz val="12"/>
        <color rgb="FF333333"/>
        <rFont val="Times New Roman"/>
        <family val="1"/>
      </rPr>
      <t>A3</t>
    </r>
    <r>
      <rPr>
        <sz val="12"/>
        <color rgb="FF333333"/>
        <rFont val="Times New Roman"/>
        <family val="1"/>
      </rPr>
      <t> (As it is common for all the formulae towards right and down).  When copied, the resultant formulae can be seen.</t>
    </r>
  </si>
  <si>
    <t>This type of references where either the row or the column number is frozen are called Mixed Cell References</t>
  </si>
  <si>
    <r>
      <t>Tips</t>
    </r>
    <r>
      <rPr>
        <sz val="12"/>
        <color rgb="FF333333"/>
        <rFont val="Times New Roman"/>
        <family val="1"/>
      </rPr>
      <t>: Keep cursor near the cell reference and press </t>
    </r>
    <r>
      <rPr>
        <b/>
        <sz val="12"/>
        <color rgb="FF333333"/>
        <rFont val="Times New Roman"/>
        <family val="1"/>
      </rPr>
      <t>f4</t>
    </r>
    <r>
      <rPr>
        <sz val="12"/>
        <color rgb="FF333333"/>
        <rFont val="Times New Roman"/>
        <family val="1"/>
      </rPr>
      <t> to toggle between the different cell references.</t>
    </r>
  </si>
  <si>
    <t>Press F4 key in cell reference</t>
  </si>
  <si>
    <t>One Time - $A$3</t>
  </si>
  <si>
    <t>Second Time - A$3</t>
  </si>
  <si>
    <t>Third Time - $A3</t>
  </si>
  <si>
    <t>Fourth Time - A3</t>
  </si>
  <si>
    <t>Named Ranges</t>
  </si>
  <si>
    <r>
      <t>Many a times, when we write formulas/functions, we need to select a range of cells. However, doing this can be time consuming. Excel allows us to use a cell or a group of cells by its name. eg. </t>
    </r>
    <r>
      <rPr>
        <b/>
        <sz val="12"/>
        <color rgb="FF333333"/>
        <rFont val="Times New Roman"/>
        <family val="1"/>
      </rPr>
      <t>Sum(Basic)</t>
    </r>
    <r>
      <rPr>
        <sz val="12"/>
        <color rgb="FF333333"/>
        <rFont val="Times New Roman"/>
        <family val="1"/>
      </rPr>
      <t> sounds much easier compared to </t>
    </r>
    <r>
      <rPr>
        <b/>
        <sz val="12"/>
        <color rgb="FF333333"/>
        <rFont val="Times New Roman"/>
        <family val="1"/>
      </rPr>
      <t>sum(H2:H101)</t>
    </r>
    <r>
      <rPr>
        <sz val="12"/>
        <color rgb="FF333333"/>
        <rFont val="Times New Roman"/>
        <family val="1"/>
      </rPr>
      <t>.However to do this, first we would need to name the range </t>
    </r>
    <r>
      <rPr>
        <b/>
        <sz val="12"/>
        <color rgb="FF333333"/>
        <rFont val="Times New Roman"/>
        <family val="1"/>
      </rPr>
      <t>H2:H10</t>
    </r>
    <r>
      <rPr>
        <sz val="12"/>
        <color rgb="FF333333"/>
        <rFont val="Times New Roman"/>
        <family val="1"/>
      </rPr>
      <t> as </t>
    </r>
    <r>
      <rPr>
        <b/>
        <sz val="12"/>
        <color rgb="FF333333"/>
        <rFont val="Times New Roman"/>
        <family val="1"/>
      </rPr>
      <t>Basic</t>
    </r>
    <r>
      <rPr>
        <sz val="12"/>
        <color rgb="FF333333"/>
        <rFont val="Times New Roman"/>
        <family val="1"/>
      </rPr>
      <t>.</t>
    </r>
  </si>
  <si>
    <t>Creating a Named Range</t>
  </si>
  <si>
    <r>
      <t>2)   </t>
    </r>
    <r>
      <rPr>
        <sz val="12"/>
        <color rgb="FF333333"/>
        <rFont val="Times New Roman"/>
        <family val="1"/>
      </rPr>
      <t>If you want to name the cells with the value in one of the cells, you may select the range along with the name, click on “Create from Selection” in the Formulas Tab, select one of the options and click Ok.</t>
    </r>
  </si>
  <si>
    <r>
      <t>3)   </t>
    </r>
    <r>
      <rPr>
        <sz val="12"/>
        <color rgb="FF333333"/>
        <rFont val="Times New Roman"/>
        <family val="1"/>
      </rPr>
      <t>You may also create a named range by clicking on “Define name” in Formulas Tab. Write the name for the range in the name box , click on the refers to box, select the range you wish to name and click Ok.</t>
    </r>
  </si>
  <si>
    <r>
      <t>1)   </t>
    </r>
    <r>
      <rPr>
        <sz val="12"/>
        <color rgb="FF333333"/>
        <rFont val="Times New Roman"/>
        <family val="1"/>
      </rPr>
      <t>Select the range (eg: H2:H101) and type the name (eg: Sal) in the name box</t>
    </r>
  </si>
  <si>
    <t>Editing or Deleting Named Ranges</t>
  </si>
  <si>
    <t xml:space="preserve">Sometimes we would need to rename or redefine a named range. This can be done from Formulas Tab. In the "Formulas" Tab, click “Name Manager”. </t>
  </si>
  <si>
    <t>To edit a named range, click on the Named Range that you want to edit and click on the Edit button. An Edit Name dialog box appears where you may rename or redefine the range name.</t>
  </si>
  <si>
    <t>To delete a range, select the range from the Name Manager list and click Delete.</t>
  </si>
  <si>
    <r>
      <t>Tips</t>
    </r>
    <r>
      <rPr>
        <sz val="12"/>
        <color rgb="FF333333"/>
        <rFont val="Times New Roman"/>
        <family val="1"/>
      </rPr>
      <t>: Press Ctrl + F3 to get a Name Manager dialog box</t>
    </r>
  </si>
  <si>
    <t>Exercise</t>
  </si>
  <si>
    <r>
      <t>1)   </t>
    </r>
    <r>
      <rPr>
        <sz val="12"/>
        <color rgb="FF333333"/>
        <rFont val="Times New Roman"/>
        <family val="1"/>
      </rPr>
      <t>Identify Relative, Absolute and Mixed references</t>
    </r>
  </si>
  <si>
    <t xml:space="preserve">                c) $A1                                    </t>
  </si>
  <si>
    <t>                a)  A$1                                   </t>
  </si>
  <si>
    <t xml:space="preserve">                b) $A$1</t>
  </si>
  <si>
    <t xml:space="preserve">                d)  A1</t>
  </si>
  <si>
    <t>To name a range, we may use one of the following procedures (Try using the Sample 1 for practice)</t>
  </si>
  <si>
    <t>Working with Formulas and Functions</t>
  </si>
  <si>
    <t>Using Formulas in a Worksheet</t>
  </si>
  <si>
    <t>Formulas are equations that perform calculations on values. A formula starts with an equal sign (=). It contains at least two operands and at least one operation. For example, the following formula multiplies 2 by 3 and adds 5 to the result.</t>
  </si>
  <si>
    <t>Operand in a formula can be functions, references or constants. Operators may be any arithmetic or logical operator.</t>
  </si>
  <si>
    <r>
      <t>Note</t>
    </r>
    <r>
      <rPr>
        <sz val="12"/>
        <color rgb="FF333333"/>
        <rFont val="Times New Roman"/>
        <family val="1"/>
      </rPr>
      <t>: Excel follows BODMAS rule to solve a formula when multiple operators are involved.</t>
    </r>
  </si>
  <si>
    <t>=5+2*3</t>
  </si>
  <si>
    <t>Array Formulae</t>
  </si>
  <si>
    <r>
      <t>Note</t>
    </r>
    <r>
      <rPr>
        <sz val="12"/>
        <color rgb="FF333333"/>
        <rFont val="Times New Roman"/>
        <family val="1"/>
      </rPr>
      <t>: Curly Brackets ({}) around the formula indicates that it is applied to an array.</t>
    </r>
  </si>
  <si>
    <t>S.No.</t>
  </si>
  <si>
    <t>Product</t>
  </si>
  <si>
    <t>Rice</t>
  </si>
  <si>
    <t>Wheat</t>
  </si>
  <si>
    <t>Onions</t>
  </si>
  <si>
    <t>Potato</t>
  </si>
  <si>
    <t>Dal</t>
  </si>
  <si>
    <t>Qty</t>
  </si>
  <si>
    <t>Price</t>
  </si>
  <si>
    <t>Here we have quantity and price of five products (Sample 2). We need to find the Total Sales which is the result of adding together the product of quantity and price for all products. In a normal scenario we would individually calculate the amount for each product and add them to get the answer. However, to make things simpler we may also use Array Formulae.</t>
  </si>
  <si>
    <r>
      <t>E.g. Select </t>
    </r>
    <r>
      <rPr>
        <b/>
        <sz val="12"/>
        <color rgb="FF333333"/>
        <rFont val="Times New Roman"/>
        <family val="1"/>
      </rPr>
      <t>B8</t>
    </r>
    <r>
      <rPr>
        <sz val="12"/>
        <color rgb="FF333333"/>
        <rFont val="Times New Roman"/>
        <family val="1"/>
      </rPr>
      <t> and write sum (</t>
    </r>
    <r>
      <rPr>
        <b/>
        <sz val="12"/>
        <color rgb="FF333333"/>
        <rFont val="Times New Roman"/>
        <family val="1"/>
      </rPr>
      <t>A2:A6*B2:B6)</t>
    </r>
    <r>
      <rPr>
        <sz val="12"/>
        <color rgb="FF333333"/>
        <rFont val="Times New Roman"/>
        <family val="1"/>
      </rPr>
      <t> and press </t>
    </r>
    <r>
      <rPr>
        <b/>
        <sz val="12"/>
        <color rgb="FF333333"/>
        <rFont val="Times New Roman"/>
        <family val="1"/>
      </rPr>
      <t>Ctrl + Shift + Enter </t>
    </r>
    <r>
      <rPr>
        <sz val="12"/>
        <color rgb="FF333333"/>
        <rFont val="Times New Roman"/>
        <family val="1"/>
      </rPr>
      <t>key combination to fill the formula </t>
    </r>
    <r>
      <rPr>
        <b/>
        <sz val="12"/>
        <color rgb="FF333333"/>
        <rFont val="Times New Roman"/>
        <family val="1"/>
      </rPr>
      <t>{=sum(A1:A3*B1:B3)}</t>
    </r>
    <r>
      <rPr>
        <sz val="12"/>
        <color rgb="FF333333"/>
        <rFont val="Times New Roman"/>
        <family val="1"/>
      </rPr>
      <t> in the selected cell. This calculates quantity*price for all the products in the cell B8. </t>
    </r>
  </si>
  <si>
    <r>
      <t>Tips</t>
    </r>
    <r>
      <rPr>
        <sz val="12"/>
        <color rgb="FF333333"/>
        <rFont val="Times New Roman"/>
        <family val="1"/>
      </rPr>
      <t>: From an empty cell, you may click on the </t>
    </r>
    <r>
      <rPr>
        <b/>
        <sz val="12"/>
        <color rgb="FF333333"/>
        <rFont val="Times New Roman"/>
        <family val="1"/>
      </rPr>
      <t>fx</t>
    </r>
    <r>
      <rPr>
        <sz val="12"/>
        <color rgb="FF333333"/>
        <rFont val="Times New Roman"/>
        <family val="1"/>
      </rPr>
      <t> symbol near the formula bar to see all the available functions in excel.</t>
    </r>
  </si>
  <si>
    <t>The syntax of a function is as follows</t>
  </si>
  <si>
    <t>=Function_name(argument1,argument2,….)</t>
  </si>
  <si>
    <t>Example:</t>
  </si>
  <si>
    <t>=SUM (A10, B5: B10, 50, 37)</t>
  </si>
  <si>
    <r>
      <t>You don’t need to memorize all the functions available and the arguments necessary for each function. Instead, you can use Sigma sign (</t>
    </r>
    <r>
      <rPr>
        <b/>
        <sz val="12"/>
        <color rgb="FF333333"/>
        <rFont val="Times New Roman"/>
        <family val="1"/>
      </rPr>
      <t>?</t>
    </r>
    <r>
      <rPr>
        <sz val="12"/>
        <color rgb="FF333333"/>
        <rFont val="Times New Roman"/>
        <family val="1"/>
      </rPr>
      <t>) which is used for sum or click on the drop down for some more function like Max, Min, etc. Excel prompts you for required and optional arguments. </t>
    </r>
  </si>
  <si>
    <r>
      <t>Tips</t>
    </r>
    <r>
      <rPr>
        <sz val="12"/>
        <color rgb="FF333333"/>
        <rFont val="Times New Roman"/>
        <family val="1"/>
      </rPr>
      <t>: You can use "Alt + =" key combination to get the sum function on your worksheet.</t>
    </r>
  </si>
  <si>
    <t>IF function</t>
  </si>
  <si>
    <t>In Chapter 2, we have seen how to calculate the income heads like HRA and DA. The formula we saw was the same for the entire database. However, sometimes we need to decide the formula to apply in a cell according to certain conditions. For example, incentives may be calculated according to the department. This is where conditional functions like “IF” come in to the picture. </t>
  </si>
  <si>
    <r>
      <t>You can use the IF function to evaluate a condition. The </t>
    </r>
    <r>
      <rPr>
        <b/>
        <sz val="12"/>
        <color rgb="FF333333"/>
        <rFont val="Times New Roman"/>
        <family val="1"/>
      </rPr>
      <t>IF</t>
    </r>
    <r>
      <rPr>
        <sz val="12"/>
        <color rgb="FF333333"/>
        <rFont val="Times New Roman"/>
        <family val="1"/>
      </rPr>
      <t> function returns different values depending on whether the condition is true or false. The syntax for the IF function is:</t>
    </r>
  </si>
  <si>
    <t>If(logical_test, [Value_if_true], [Value_if_false])</t>
  </si>
  <si>
    <t>The first argument is the condition that you want the function to evaluate. The second argument is the value to be returned if the condition is true and the third argument is the value to be returned if the condition is false. Second and third parameters are optional.</t>
  </si>
  <si>
    <t>Example</t>
  </si>
  <si>
    <t>Suppose you want to calculate HRA based on designation of the employees, if Designation is Manager then HRA is1000 or else 500. Then the function code will be as follows:</t>
  </si>
  <si>
    <t>=if (C2="Manager", 1000, 500)</t>
  </si>
  <si>
    <t>HRA</t>
  </si>
  <si>
    <t>DA</t>
  </si>
  <si>
    <t>Sample 3</t>
  </si>
  <si>
    <r>
      <t>As given in </t>
    </r>
    <r>
      <rPr>
        <b/>
        <sz val="12"/>
        <color rgb="FF333333"/>
        <rFont val="Times New Roman"/>
        <family val="1"/>
      </rPr>
      <t>Sample 3</t>
    </r>
    <r>
      <rPr>
        <sz val="12"/>
        <color rgb="FF333333"/>
        <rFont val="Times New Roman"/>
        <family val="1"/>
      </rPr>
      <t>, above function calculates HRA as 1000 for Managers and 500 for others.</t>
    </r>
  </si>
  <si>
    <t>Nested IF</t>
  </si>
  <si>
    <t>A Nested IF function is when a second IF function is placed inside the first in order to test additional conditions.</t>
  </si>
  <si>
    <t>The syntax for the Nested IF function is:</t>
  </si>
  <si>
    <t>If(logical_test, [Value_if_true], If(logical_test, [Value_if_true], [Value_if_false]))</t>
  </si>
  <si>
    <t>Examples:</t>
  </si>
  <si>
    <t>You can use nested IF functions to evaluate complex conditions. For example, if the Salary &lt;5000 then tax is 5%, if salary between 5000 and 10000 then it is 10% else 15%. </t>
  </si>
  <si>
    <t>=IF(salary&lt;5000,salary*0.05,IF(salary&lt;10000,salary*0.1,salary*0.15))</t>
  </si>
  <si>
    <t>Suppose you want to assign letter grades to numbers referenced by the name Average Score. See the following table in Sample 4</t>
  </si>
  <si>
    <t>If Average Score is</t>
  </si>
  <si>
    <t>Then return</t>
  </si>
  <si>
    <t>Greater than 89</t>
  </si>
  <si>
    <t>A</t>
  </si>
  <si>
    <t>From 80 to 89</t>
  </si>
  <si>
    <t>B</t>
  </si>
  <si>
    <t>From 70 to 79</t>
  </si>
  <si>
    <t>C</t>
  </si>
  <si>
    <t>From 60 to 69</t>
  </si>
  <si>
    <t>D</t>
  </si>
  <si>
    <t>Less than 60</t>
  </si>
  <si>
    <t>F</t>
  </si>
  <si>
    <t>Score</t>
  </si>
  <si>
    <t>You can use the following nested IF function:</t>
  </si>
  <si>
    <t>IF(AverageScore&gt;89,"A",IF(AverageScore&gt;79,"B",IF(AverageScore&gt;69,"C",IF(AverageScore&gt;59,"D","F"))))</t>
  </si>
  <si>
    <r>
      <t>Tips</t>
    </r>
    <r>
      <rPr>
        <sz val="12"/>
        <color rgb="FF333333"/>
        <rFont val="Times New Roman"/>
        <family val="1"/>
      </rPr>
      <t>:You can nest up to sixty four levels of If functions in a single formula.</t>
    </r>
  </si>
  <si>
    <t>IF with AND</t>
  </si>
  <si>
    <t>AND is a logical function in excel which returns the combined truth value of two arguments or conditions. It returns false only when all the conditions listed are false.</t>
  </si>
  <si>
    <t>Syntax</t>
  </si>
  <si>
    <t>AND(logical1, logical2 )</t>
  </si>
  <si>
    <t>If there is a scenario where we have two conditions whose combined truth value would decide the output of an IF function, we can use AND with IF.</t>
  </si>
  <si>
    <t>Syntax using AND with If </t>
  </si>
  <si>
    <t>If(and(Condition1, condition2….), True, False)</t>
  </si>
  <si>
    <t>If we need to give 10% of his basic salary as incentive to every one working in “Sales” department “North” region, we would use the following formula.</t>
  </si>
  <si>
    <t>=IF (AND (Department=”sales”, Region=”north”), 10%*Basic Salary, 0)</t>
  </si>
  <si>
    <t>Region</t>
  </si>
  <si>
    <t>North</t>
  </si>
  <si>
    <t>South</t>
  </si>
  <si>
    <t>East</t>
  </si>
  <si>
    <t>West</t>
  </si>
  <si>
    <t>IF with OR</t>
  </si>
  <si>
    <t>OR is a logical function in excel which returns False if any one of the arguments returns false.</t>
  </si>
  <si>
    <t>OR(logical1, logical2 )</t>
  </si>
  <si>
    <t>If there is a scenario where we have two conditions of which any one of the conditions is false, then it should return the value in the false argument, we may use OR with IF.</t>
  </si>
  <si>
    <t>Syntax using OR with If </t>
  </si>
  <si>
    <t>If(OR(Condition1, condition2….), True, False)</t>
  </si>
  <si>
    <r>
      <t>If the employee is in Sales, Mktg or Hrd, then hra is 50% of Basic salary otherwise, it is 30% of Basic salary. </t>
    </r>
    <r>
      <rPr>
        <b/>
        <sz val="12"/>
        <color rgb="FF333333"/>
        <rFont val="Times New Roman"/>
        <family val="1"/>
      </rPr>
      <t>if(or(Department ="Mktg",Department ="Sales",Department="Hrd"),Basic salary*.5,Basic salary*.3) </t>
    </r>
  </si>
  <si>
    <t>Sales</t>
  </si>
  <si>
    <t>Marketing</t>
  </si>
  <si>
    <t>HRD</t>
  </si>
  <si>
    <t>IF with NOT</t>
  </si>
  <si>
    <t>Not is a logical function used to negate an argument. </t>
  </si>
  <si>
    <t>NOT(logical)</t>
  </si>
  <si>
    <t>Syntax using NOT with If  If(NOT(Condition), True, False)</t>
  </si>
  <si>
    <t>If we need to give an incentive to everyone but people working in the “Marketing” department we may use the following formula.</t>
  </si>
  <si>
    <t>IF(NOT(Department=”Mktg”),10%*salary,0)</t>
  </si>
  <si>
    <r>
      <t>Tips</t>
    </r>
    <r>
      <rPr>
        <sz val="12"/>
        <color rgb="FF333333"/>
        <rFont val="Times New Roman"/>
        <family val="1"/>
      </rPr>
      <t>: There can be maximum 255 conditions which can be passed to AND/OR function and we can pass only one condition to NOT.</t>
    </r>
  </si>
  <si>
    <t>We may also use multiple not inside if.</t>
  </si>
  <si>
    <t>If you need to give an incentive to everyone but people from the sales and admin department, you may use the following function.</t>
  </si>
  <si>
    <t>If(and(not(department="Sales"),not(department="admin")),10%*salary,0)</t>
  </si>
  <si>
    <r>
      <t>If we have a condition which when not satisfied we need to apply the formula, we may use </t>
    </r>
    <r>
      <rPr>
        <b/>
        <sz val="12"/>
        <color rgb="FF333333"/>
        <rFont val="Times New Roman"/>
        <family val="1"/>
      </rPr>
      <t>NOT</t>
    </r>
    <r>
      <rPr>
        <sz val="12"/>
        <color rgb="FF333333"/>
        <rFont val="Times New Roman"/>
        <family val="1"/>
      </rPr>
      <t> with IF.</t>
    </r>
  </si>
  <si>
    <t>Admin</t>
  </si>
  <si>
    <t>Lookup Functions</t>
  </si>
  <si>
    <t>Sometimes, we need to search for a value in a database based on a lookup value. For example, given Employee Id, how can I look up the incentive value from some other sheet or some other file? In such scenarios, depending on the source database, we may use one of the following lookup functions.</t>
  </si>
  <si>
    <t>1)    V-lookup (If the database is vertical )</t>
  </si>
  <si>
    <t>2)    H-lookup (If the database is horizontal )</t>
  </si>
  <si>
    <t>V-lookup</t>
  </si>
  <si>
    <t>If we need to the get the value of a column from some other file or sheet based on a common field, you may use Vlookup. V-lookup is a function that searches for a value (lookup value) in the leftmost column of a given database (table array)and returns a value in the same row from a column you specify. </t>
  </si>
  <si>
    <t>Syntax:</t>
  </si>
  <si>
    <t>VLOOKUP(lookup_value,table_array,col_index_num,range_lookup)</t>
  </si>
  <si>
    <r>
      <t>Lookup</t>
    </r>
    <r>
      <rPr>
        <sz val="12"/>
        <color rgb="FF333333"/>
        <rFont val="Times New Roman"/>
        <family val="1"/>
      </rPr>
      <t>_</t>
    </r>
    <r>
      <rPr>
        <b/>
        <sz val="12"/>
        <color rgb="FF333333"/>
        <rFont val="Times New Roman"/>
        <family val="1"/>
      </rPr>
      <t>value</t>
    </r>
    <r>
      <rPr>
        <sz val="12"/>
        <color rgb="FF333333"/>
        <rFont val="Times New Roman"/>
        <family val="1"/>
      </rPr>
      <t>   is the value to be found in the first column of the table. It is the value that you are looking for. Lookup_value can be a value, a reference or a text string.</t>
    </r>
  </si>
  <si>
    <r>
      <t>Table_array</t>
    </r>
    <r>
      <rPr>
        <sz val="12"/>
        <color rgb="FF333333"/>
        <rFont val="Times New Roman"/>
        <family val="1"/>
      </rPr>
      <t> is the table of information in which data is looked up. It is the source database. Use a reference to a range or a range name. </t>
    </r>
  </si>
  <si>
    <r>
      <t>Col_index_num</t>
    </r>
    <r>
      <rPr>
        <sz val="12"/>
        <color rgb="FF333333"/>
        <rFont val="Times New Roman"/>
        <family val="1"/>
      </rPr>
      <t>          is             the         column number                in table_array from which the matching value must be returned. </t>
    </r>
  </si>
  <si>
    <t>You can write this function using Built-in Function Arguments dialog-box. Click on Formulas Tab and search in the Lookup &amp; Reference category for Vlookup. Click on Vlookup and you will get a Function Arguments dialog box.</t>
  </si>
  <si>
    <t>H-lookup</t>
  </si>
  <si>
    <t>H-lookup function searches for a value in the top most row of a table, and then returns a value in the same column from a row you specify. </t>
  </si>
  <si>
    <t>HLOOKUP(lookup_value,table_array,row_index_num,range_lookup)</t>
  </si>
  <si>
    <t>H-lookup works the same way as V-lookup. However, in this case we need to specify the row index number instead of the column index number</t>
  </si>
  <si>
    <r>
      <t>Tips</t>
    </r>
    <r>
      <rPr>
        <sz val="12"/>
        <color rgb="FF333333"/>
        <rFont val="Times New Roman"/>
        <family val="1"/>
      </rPr>
      <t>: You may also get the function argument box by the following method  Type =vlookup( or =hlookup( as the case may be and press Ctrl+A.</t>
    </r>
  </si>
  <si>
    <t>Example of Vlookup with Range 0 (False):</t>
  </si>
  <si>
    <t>Suppose you want to add incentive in the Salary Sheet according to the incentive table who's Range is A1:B12 in the Incentive worksheet, do the following.</t>
  </si>
  <si>
    <r>
      <t>1)    </t>
    </r>
    <r>
      <rPr>
        <sz val="12"/>
        <color rgb="FF333333"/>
        <rFont val="Times New Roman"/>
        <family val="1"/>
      </rPr>
      <t>Select the cell, where you want the result.</t>
    </r>
  </si>
  <si>
    <r>
      <t>2)    </t>
    </r>
    <r>
      <rPr>
        <sz val="12"/>
        <color rgb="FF333333"/>
        <rFont val="Times New Roman"/>
        <family val="1"/>
      </rPr>
      <t>Click on Insert Function –Select the Vlookup () function from Lookup and Reference category.</t>
    </r>
  </si>
  <si>
    <r>
      <t>3)    </t>
    </r>
    <r>
      <rPr>
        <sz val="12"/>
        <color rgb="FF333333"/>
        <rFont val="Times New Roman"/>
        <family val="1"/>
      </rPr>
      <t>Lookup Value – Select A2 [The Employee code]</t>
    </r>
  </si>
  <si>
    <r>
      <t>4)    </t>
    </r>
    <r>
      <rPr>
        <sz val="12"/>
        <color rgb="FF333333"/>
        <rFont val="Times New Roman"/>
        <family val="1"/>
      </rPr>
      <t>Table Array: Select the Incentive Sheet and Select the Range from $A$1:$B$12 [i.e. Employee code and incentive Column]</t>
    </r>
  </si>
  <si>
    <r>
      <t>5)    </t>
    </r>
    <r>
      <rPr>
        <sz val="12"/>
        <color rgb="FF333333"/>
        <rFont val="Times New Roman"/>
        <family val="1"/>
      </rPr>
      <t>Column Index: Type 2 [Column 2 is the Incentive column in Incentive table ]</t>
    </r>
  </si>
  <si>
    <r>
      <t>6)    </t>
    </r>
    <r>
      <rPr>
        <sz val="12"/>
        <color rgb="FF333333"/>
        <rFont val="Times New Roman"/>
        <family val="1"/>
      </rPr>
      <t>Range Lookup: Type False [we are searching the exact match from the table for the lookup value]</t>
    </r>
  </si>
  <si>
    <r>
      <t>Tips</t>
    </r>
    <r>
      <rPr>
        <sz val="12"/>
        <color rgb="FF333333"/>
        <rFont val="Times New Roman"/>
        <family val="1"/>
      </rPr>
      <t>: To remove </t>
    </r>
    <r>
      <rPr>
        <b/>
        <sz val="12"/>
        <color rgb="FF333333"/>
        <rFont val="Times New Roman"/>
        <family val="1"/>
      </rPr>
      <t>#NA (Not Available Error)</t>
    </r>
    <r>
      <rPr>
        <sz val="12"/>
        <color rgb="FF333333"/>
        <rFont val="Times New Roman"/>
        <family val="1"/>
      </rPr>
      <t>, you can use the function Iferror. The Syntax of iferror is as follows: </t>
    </r>
  </si>
  <si>
    <t>Name of Emp</t>
  </si>
  <si>
    <t>Department</t>
  </si>
  <si>
    <t>Salary</t>
  </si>
  <si>
    <t>Gross Total</t>
  </si>
  <si>
    <t>TDS</t>
  </si>
  <si>
    <t>Net Sal</t>
  </si>
  <si>
    <t>Designation</t>
  </si>
  <si>
    <t>Raj</t>
  </si>
  <si>
    <t>Finance</t>
  </si>
  <si>
    <t>Manager</t>
  </si>
  <si>
    <t>Kiran</t>
  </si>
  <si>
    <t>Assistant Manager</t>
  </si>
  <si>
    <t>Shruti</t>
  </si>
  <si>
    <t>Ram</t>
  </si>
  <si>
    <t>Executive</t>
  </si>
  <si>
    <t>Inder</t>
  </si>
  <si>
    <t>Shailen</t>
  </si>
  <si>
    <t xml:space="preserve">Remove #n/a error </t>
  </si>
  <si>
    <t>If error</t>
  </si>
  <si>
    <t>Name of Employee</t>
  </si>
  <si>
    <t>DOJ</t>
  </si>
  <si>
    <t>Vlookup</t>
  </si>
  <si>
    <t>Hlookup</t>
  </si>
  <si>
    <t>IFERROR</t>
  </si>
  <si>
    <t>Vlookup with column</t>
  </si>
  <si>
    <r>
      <t>Range_lookup</t>
    </r>
    <r>
      <rPr>
        <sz val="12"/>
        <color rgb="FF333333"/>
        <rFont val="Times New Roman"/>
        <family val="1"/>
      </rPr>
      <t>   is a logical value that specifies whether you want VLOOKUP to find an exact match or an approximate match. If Range Lookup is set as FALSE or 0, VLOOKUP will find an exact match. If exact match is not found, the error value #N/A is returned. If it is set to TRUE or non-zero, it finds the</t>
    </r>
    <r>
      <rPr>
        <b/>
        <sz val="12"/>
        <color rgb="FF333333"/>
        <rFont val="Times New Roman"/>
        <family val="1"/>
      </rPr>
      <t xml:space="preserve">     nearest value that is less than lookup value. (Sample 5 &amp; Exer 1)</t>
    </r>
  </si>
  <si>
    <r>
      <t>         =iferror(vlookup….),””)</t>
    </r>
    <r>
      <rPr>
        <b/>
        <sz val="12"/>
        <color rgb="FF333333"/>
        <rFont val="Times New Roman"/>
        <family val="1"/>
      </rPr>
      <t xml:space="preserve"> (Sample 5 &amp; Exer 1)</t>
    </r>
  </si>
  <si>
    <t>Making V-Lookup Dynamic</t>
  </si>
  <si>
    <t>When we have a dynamic database, where a new column gets added to the database frequently, position of the current columns may also change. However, column index number of Vlookup does not update automatically with the growing database. This is where we would need to make VLookup Dynamically pickup the column index number. To do this, we may use one of the following functions to retrieve the column index number dynamically.</t>
  </si>
  <si>
    <r>
      <t>1)    </t>
    </r>
    <r>
      <rPr>
        <sz val="12"/>
        <color rgb="FF333333"/>
        <rFont val="Times New Roman"/>
        <family val="1"/>
      </rPr>
      <t>Column</t>
    </r>
  </si>
  <si>
    <r>
      <t>2)    </t>
    </r>
    <r>
      <rPr>
        <sz val="12"/>
        <color rgb="FF333333"/>
        <rFont val="Times New Roman"/>
        <family val="1"/>
      </rPr>
      <t>Match</t>
    </r>
  </si>
  <si>
    <t>Using Column Function in Vlookup</t>
  </si>
  <si>
    <t>To make Vlookup dynamic, we may use the column header as an indicator that would dynamically pickup the index number of the particular column in which the required value exist.</t>
  </si>
  <si>
    <t>The syntax of using column function in vlookup</t>
  </si>
  <si>
    <t>Here, Reference parameter of column function would contain the cell reference of the column header from the original database.</t>
  </si>
  <si>
    <t>In the above example of vlookup, if we need to find the column index number dynamically we may use column function as follows.</t>
  </si>
  <si>
    <r>
      <t>B1</t>
    </r>
    <r>
      <rPr>
        <sz val="12"/>
        <color rgb="FF333333"/>
        <rFont val="Times New Roman"/>
        <family val="1"/>
      </rPr>
      <t> is the reference to the column header of the First Name column in the 'Salary' worksheet.</t>
    </r>
  </si>
  <si>
    <t>=VLOOKUP(lookup_value,table_array,COLUMN(reference),Range_lookup)</t>
  </si>
  <si>
    <t>Using Match Function in Vlookup</t>
  </si>
  <si>
    <t>As we saw in the above case, we would require access to the original database or at least an idea as to the current position of the column. However, this information would not always be available. Here we would need to use a function that can retrieve the position of the column header just by the name. </t>
  </si>
  <si>
    <t>A Match function does just the same. Match function returns the position of a string in a range. </t>
  </si>
  <si>
    <t>Syntax of match function is as follows:</t>
  </si>
  <si>
    <t>MATCH(lookup_value, lookup_array,[match_type])</t>
  </si>
  <si>
    <r>
      <t>Lookup_Value</t>
    </r>
    <r>
      <rPr>
        <sz val="12"/>
        <color rgb="FF333333"/>
        <rFont val="Times New Roman"/>
        <family val="1"/>
      </rPr>
      <t>: It is the string that we are looking up for. It may be a string eg: "Salary" or a cell reference where the string is stored.</t>
    </r>
  </si>
  <si>
    <r>
      <t>Lookup_Array</t>
    </r>
    <r>
      <rPr>
        <sz val="12"/>
        <color rgb="FF333333"/>
        <rFont val="Times New Roman"/>
        <family val="1"/>
      </rPr>
      <t>: It is the range from which we need to know the position of Lookup_value.</t>
    </r>
  </si>
  <si>
    <t>For example, if we need to find out the position of the string "salary" in the first row of the salary sheet, we would write,</t>
  </si>
  <si>
    <t>We may use the match function instead of column Index number to get the column index number dynamically. </t>
  </si>
  <si>
    <t>The syntax of using match function in vlookup:</t>
  </si>
  <si>
    <t>=MATCH("salary",salary!$1:$1,0)</t>
  </si>
  <si>
    <t>=VLOOKUP(lookup_value,table_array,MATCH(label,firstrow of source-database,0),Range_lookup)</t>
  </si>
  <si>
    <r>
      <rPr>
        <b/>
        <sz val="12"/>
        <color rgb="FF333333"/>
        <rFont val="Times New Roman"/>
        <family val="1"/>
      </rPr>
      <t>Match_Type:</t>
    </r>
    <r>
      <rPr>
        <sz val="12"/>
        <color rgb="FF333333"/>
        <rFont val="Times New Roman"/>
        <family val="1"/>
      </rPr>
      <t xml:space="preserve"> It is an optional parameter that is used to specify the type of match we require 0: Exact match, 1: Less than, -1: Greater Than.</t>
    </r>
  </si>
  <si>
    <t>Name</t>
  </si>
  <si>
    <t>CSD</t>
  </si>
  <si>
    <t>Goldy</t>
  </si>
  <si>
    <t>Arpan</t>
  </si>
  <si>
    <t>Golu</t>
  </si>
  <si>
    <t>Kailash</t>
  </si>
  <si>
    <t>Amitabh</t>
  </si>
  <si>
    <t>Raj Kapoor</t>
  </si>
  <si>
    <t>Rishi</t>
  </si>
  <si>
    <t>Rajinder</t>
  </si>
  <si>
    <t>Diljeet</t>
  </si>
  <si>
    <t>GM</t>
  </si>
  <si>
    <t>AGM</t>
  </si>
  <si>
    <t>Vice President</t>
  </si>
  <si>
    <t>President</t>
  </si>
  <si>
    <t>In the emp_inf example, if we need to make the vlookup more dynamic using the column headers, we may use match with vlookup. Here the match looks for the labels on each field in the header of salary database and returns the position of the column dynamically.</t>
  </si>
  <si>
    <t>Try using this in Exer 1</t>
  </si>
  <si>
    <t>Pivot Tables</t>
  </si>
  <si>
    <t>This chapter would help you learn how to</t>
  </si>
  <si>
    <t>•    Create Pivot Tables.</t>
  </si>
  <si>
    <t>•    Make different reports using Pivot Tables.</t>
  </si>
  <si>
    <t>•    Use advanced features of Pivot Tables.</t>
  </si>
  <si>
    <r>
      <t>A </t>
    </r>
    <r>
      <rPr>
        <b/>
        <sz val="12"/>
        <color rgb="FF333333"/>
        <rFont val="Times New Roman"/>
        <family val="1"/>
      </rPr>
      <t>Pivot Table</t>
    </r>
    <r>
      <rPr>
        <sz val="12"/>
        <color rgb="FF333333"/>
        <rFont val="Times New Roman"/>
        <family val="1"/>
      </rPr>
      <t> is an interactive worksheet based table that quickly summarizes large amounts of data using the format and calculation methods you choose.  It is called a Pivot Table because you can rotate its row and column headings around the core data area to give you different views of the source data.  As source data changes, you can update a pivot table.  It resides on a worksheet thus; you can integrate a Pivot Table into a larger worksheet model using standard formulas. You can use a PivotTable to analyze data in an Excel workbook or from an external database such as Microsoft Access or SQL Server.</t>
    </r>
  </si>
  <si>
    <t>Examining PivotTables</t>
  </si>
  <si>
    <t>Field</t>
  </si>
  <si>
    <t>Description</t>
  </si>
  <si>
    <t>Filters the summarized data in the PivotTable. If you select an item in the report filter, the view of the PivotTable changes to display only the summarized data associated with that item. For example, if Region is a report filter, you can display the summarized data for North, West, or all regions.</t>
  </si>
  <si>
    <t>Row Labels</t>
  </si>
  <si>
    <t>Displays the items in a field as row labels. For example given below, the row labels are values in the Quarter field, which means that the table shows one row for each quarter.</t>
  </si>
  <si>
    <t>Displays the items in a field as column labels. For example, given below, the column labels are values in the Product field, which means that the table shows one column for each product.</t>
  </si>
  <si>
    <t>? Values</t>
  </si>
  <si>
    <t>Contains the summarized data. These fields usually contain numeric data, such as sales and inventory. The area where the data itself appears is called the data area.</t>
  </si>
  <si>
    <r>
      <t>1)    </t>
    </r>
    <r>
      <rPr>
        <sz val="12"/>
        <color rgb="FF333333"/>
        <rFont val="Times New Roman"/>
        <family val="1"/>
      </rPr>
      <t>Select any cell in a data range that includes a heading for each column in the top row.</t>
    </r>
  </si>
  <si>
    <r>
      <t>2)    </t>
    </r>
    <r>
      <rPr>
        <sz val="12"/>
        <color rgb="FF333333"/>
        <rFont val="Times New Roman"/>
        <family val="1"/>
      </rPr>
      <t>Activate the Insert tab.</t>
    </r>
  </si>
  <si>
    <r>
      <t>3)    </t>
    </r>
    <r>
      <rPr>
        <sz val="12"/>
        <color rgb="FF333333"/>
        <rFont val="Times New Roman"/>
        <family val="1"/>
      </rPr>
      <t>In the Tables group, click the PivotTable button, or click the PivotTable list and select PivotTable to open the Create PivotTable dialog box.</t>
    </r>
  </si>
  <si>
    <r>
      <t>4)    </t>
    </r>
    <r>
      <rPr>
        <sz val="12"/>
        <color rgb="FF333333"/>
        <rFont val="Times New Roman"/>
        <family val="1"/>
      </rPr>
      <t>In the Table/Range box, select the range that contains the data to be used in the PivotTable.</t>
    </r>
  </si>
  <si>
    <r>
      <t>5)    </t>
    </r>
    <r>
      <rPr>
        <sz val="12"/>
        <color rgb="FF333333"/>
        <rFont val="Times New Roman"/>
        <family val="1"/>
      </rPr>
      <t>Select the location for the PivotTable. You can place the PivotTable in a new or existing worksheet. Click OK to create the PivotTable.</t>
    </r>
  </si>
  <si>
    <t>Add fields</t>
  </si>
  <si>
    <t>You can add fields to a PivotTable to specify the data you want to display. The fields of the source data appears in the "PivotTable Field List" task pane.</t>
  </si>
  <si>
    <t>To add fields, drag the relevant field from the top of the PivotTable Field List to one of the four areas at the bottom. You can add more than one field to an area, and you do not need to add all fields to the table. To display data and not just headings, you need to place at least one field in the ? Values area.</t>
  </si>
  <si>
    <t>Format a PivotTable report</t>
  </si>
  <si>
    <t>You can modify the format of a PivotTable by using styles and the Field Settings dialog box. You can use styles to format an entire PivotTable in one step. You can use the Field Settings dialog box to change number formats, specify how data is summarized, and show or hide data. </t>
  </si>
  <si>
    <r>
      <t>1)    </t>
    </r>
    <r>
      <rPr>
        <sz val="12"/>
        <color rgb="FF333333"/>
        <rFont val="Times New Roman"/>
        <family val="1"/>
      </rPr>
      <t>Activate the Design tab</t>
    </r>
  </si>
  <si>
    <t>Calculate the Percentage of the field</t>
  </si>
  <si>
    <t>You can change field settings to alter how data appears or is summarized in a PivotTable. To change field settings:</t>
  </si>
  <si>
    <r>
      <t>1)    </t>
    </r>
    <r>
      <rPr>
        <sz val="12"/>
        <color theme="1"/>
        <rFont val="Times New Roman"/>
        <family val="1"/>
      </rPr>
      <t>Activate option Tab.</t>
    </r>
  </si>
  <si>
    <r>
      <t>2)    </t>
    </r>
    <r>
      <rPr>
        <sz val="12"/>
        <color theme="1"/>
        <rFont val="Times New Roman"/>
        <family val="1"/>
      </rPr>
      <t>Click on the Field setting From Activate Field Group.</t>
    </r>
  </si>
  <si>
    <r>
      <t>4)    </t>
    </r>
    <r>
      <rPr>
        <sz val="12"/>
        <color theme="1"/>
        <rFont val="Times New Roman"/>
        <family val="1"/>
      </rPr>
      <t>Select the Tab Show vales as and from the drop down select the % of Total.</t>
    </r>
  </si>
  <si>
    <t>Top/ Bottom Report</t>
  </si>
  <si>
    <r>
      <t>1)    </t>
    </r>
    <r>
      <rPr>
        <sz val="12"/>
        <color theme="1"/>
        <rFont val="Times New Roman"/>
        <family val="1"/>
      </rPr>
      <t>Select the Field on the Pivot.</t>
    </r>
  </si>
  <si>
    <r>
      <t>2)    </t>
    </r>
    <r>
      <rPr>
        <sz val="12"/>
        <color theme="1"/>
        <rFont val="Times New Roman"/>
        <family val="1"/>
      </rPr>
      <t>Select Value Filters and Select Top 10.</t>
    </r>
  </si>
  <si>
    <r>
      <t>3)    </t>
    </r>
    <r>
      <rPr>
        <sz val="12"/>
        <color theme="1"/>
        <rFont val="Times New Roman"/>
        <family val="1"/>
      </rPr>
      <t>Apply the condition according to your requirement.</t>
    </r>
  </si>
  <si>
    <t>Group Items in a PivotTable</t>
  </si>
  <si>
    <t>If you want to generate a report on Year wise Quarter wise based on existing data scenario you can use Group Option in Pivot Table.</t>
  </si>
  <si>
    <r>
      <t>1)    </t>
    </r>
    <r>
      <rPr>
        <sz val="12"/>
        <color theme="1"/>
        <rFont val="Times New Roman"/>
        <family val="1"/>
      </rPr>
      <t>Select any cell in a data range. </t>
    </r>
  </si>
  <si>
    <r>
      <t>2)    </t>
    </r>
    <r>
      <rPr>
        <sz val="12"/>
        <color theme="1"/>
        <rFont val="Times New Roman"/>
        <family val="1"/>
      </rPr>
      <t>Activate the Option tab.</t>
    </r>
  </si>
  <si>
    <r>
      <t>3)    </t>
    </r>
    <r>
      <rPr>
        <sz val="12"/>
        <color theme="1"/>
        <rFont val="Times New Roman"/>
        <family val="1"/>
      </rPr>
      <t>Click on Group Field</t>
    </r>
  </si>
  <si>
    <r>
      <t>4)    </t>
    </r>
    <r>
      <rPr>
        <sz val="12"/>
        <color theme="1"/>
        <rFont val="Times New Roman"/>
        <family val="1"/>
      </rPr>
      <t>In the "By" box, click one or more time periods for the groups. </t>
    </r>
  </si>
  <si>
    <t>If you have grouping on date field, you can group items by weeks, click Days in the "By" box, make sure Days is the only time period selected, and then click 7 in the Number of days box. You can then click additional time periods to group by, such as Month, if you want. Create a chart from data in a PivotTable report.</t>
  </si>
  <si>
    <t>Create a Graph using Pivot Data</t>
  </si>
  <si>
    <t>You can use a PivotChart to graphically display data from a PivotTable. A single PivotChart provides different views of the same data .When you create a PivotChart, the row fields of the PivotTable become the categories, and the column fields become the series.</t>
  </si>
  <si>
    <t>To create a PivotChart, select any cell within a PivotTable, and click Chart in the Tools group on the Options tab. Select options for the chart as you would a standard chart, then click OK. You can also create a new PivotChart and PivotTable at the same time by selecting a cell in the source data, and selecting PivotChart from the PivotTable list in the Tables group on the Insert tab.</t>
  </si>
  <si>
    <r>
      <t>The data on which a PivotTable is based is called the Source Data. Each column represents a field or category of information, which you can assign to different parts of the PivotTable to determine how the data is arranged. You can add four types of fields</t>
    </r>
    <r>
      <rPr>
        <b/>
        <sz val="12"/>
        <color rgb="FF333333"/>
        <rFont val="Times New Roman"/>
        <family val="1"/>
      </rPr>
      <t>. </t>
    </r>
    <r>
      <rPr>
        <sz val="12"/>
        <color rgb="FF333333"/>
        <rFont val="Times New Roman"/>
        <family val="1"/>
      </rPr>
      <t>The fields are explained in the following table:</t>
    </r>
  </si>
  <si>
    <t>Report Filter</t>
  </si>
  <si>
    <t>Column Labels</t>
  </si>
  <si>
    <t>After the fields are in place, you can filter the information that appears in the table by selecting from the Filter columns, Filter rows, or report filter lists. For example, you can show all data values, or restrict the   PivotTable to summarizing only a couple of them.     </t>
  </si>
  <si>
    <r>
      <t>2)    </t>
    </r>
    <r>
      <rPr>
        <sz val="12"/>
        <color rgb="FF333333"/>
        <rFont val="Times New Roman"/>
        <family val="1"/>
      </rPr>
      <t>In the PivotTable Styles group, select a style that you want to apply to your Pivot Table</t>
    </r>
  </si>
  <si>
    <r>
      <t>3)    </t>
    </r>
    <r>
      <rPr>
        <sz val="12"/>
        <color theme="1"/>
        <rFont val="Times New Roman"/>
        <family val="1"/>
      </rPr>
      <t>Form the Given dialog box change the custom name to % of</t>
    </r>
    <r>
      <rPr>
        <b/>
        <sz val="12"/>
        <color theme="1"/>
        <rFont val="Times New Roman"/>
        <family val="1"/>
      </rPr>
      <t xml:space="preserve"> Salary.</t>
    </r>
  </si>
  <si>
    <r>
      <t>A</t>
    </r>
    <r>
      <rPr>
        <sz val="12"/>
        <color rgb="FF333333"/>
        <rFont val="Times New Roman"/>
        <family val="1"/>
      </rPr>
      <t xml:space="preserve"> Pivot Table for region wise department wise sum of salary and pivot chart created from it.</t>
    </r>
  </si>
  <si>
    <r>
      <t>Tips</t>
    </r>
    <r>
      <rPr>
        <sz val="12"/>
        <color rgb="FF333333"/>
        <rFont val="Times New Roman"/>
        <family val="1"/>
      </rPr>
      <t>: Click anywhere inside the pivot table and press </t>
    </r>
    <r>
      <rPr>
        <b/>
        <sz val="12"/>
        <color rgb="FF333333"/>
        <rFont val="Times New Roman"/>
        <family val="1"/>
      </rPr>
      <t xml:space="preserve">alt F1 </t>
    </r>
    <r>
      <rPr>
        <sz val="12"/>
        <color rgb="FF333333"/>
        <rFont val="Times New Roman"/>
        <family val="1"/>
      </rPr>
      <t>Keycombination to create a pivot chart. </t>
    </r>
    <r>
      <rPr>
        <b/>
        <sz val="12"/>
        <color rgb="FF333333"/>
        <rFont val="Times New Roman"/>
        <family val="1"/>
      </rPr>
      <t>F11</t>
    </r>
    <r>
      <rPr>
        <sz val="12"/>
        <color rgb="FF333333"/>
        <rFont val="Times New Roman"/>
        <family val="1"/>
      </rPr>
      <t> creates the chart on a new sheet.</t>
    </r>
  </si>
  <si>
    <t>What-if-Analysis Tools</t>
  </si>
  <si>
    <t>This chapter tells you how to analyze data using</t>
  </si>
  <si>
    <t>•    Goal Seek</t>
  </si>
  <si>
    <t>•    Data Tables</t>
  </si>
  <si>
    <t>•    Scenario Manager</t>
  </si>
  <si>
    <t>In situations where, you may have to use several different sets of values in one or more formulas to explore all the various results, manual interference may increase leading to errors. What-If Analysis tools can come to your rescue at such situations. There are 3 What-If Analysis tools in excel namely:</t>
  </si>
  <si>
    <r>
      <t>1)    </t>
    </r>
    <r>
      <rPr>
        <sz val="12"/>
        <color rgb="FF333333"/>
        <rFont val="Times New Roman"/>
        <family val="1"/>
      </rPr>
      <t>Goal-seek</t>
    </r>
  </si>
  <si>
    <r>
      <t>2)    </t>
    </r>
    <r>
      <rPr>
        <sz val="12"/>
        <color rgb="FF333333"/>
        <rFont val="Times New Roman"/>
        <family val="1"/>
      </rPr>
      <t>Data-Tables</t>
    </r>
  </si>
  <si>
    <r>
      <t>3)    </t>
    </r>
    <r>
      <rPr>
        <sz val="12"/>
        <color rgb="FF333333"/>
        <rFont val="Times New Roman"/>
        <family val="1"/>
      </rPr>
      <t>Scenario-Manager</t>
    </r>
  </si>
  <si>
    <t>Goal Seek</t>
  </si>
  <si>
    <t>Suppose you have created a formula to calculate PMT based on the formula, you want to know the number of months you need to pay to complete the installment provided you pay x amount per month. For such kind of reverse analysis, you may use Goal Seek utility. This type of analysis involves changing the values in a worksheet and observing how these changes affect the results of the formulas. You use Goal Seek to solve problems that have one variable.</t>
  </si>
  <si>
    <t>Loan Amount</t>
  </si>
  <si>
    <t>Using the Goal Seek Command</t>
  </si>
  <si>
    <t>To find a specific value that solves a formula, select the cell containing the formula.</t>
  </si>
  <si>
    <r>
      <t>1)    </t>
    </r>
    <r>
      <rPr>
        <sz val="12"/>
        <color rgb="FF333333"/>
        <rFont val="Times New Roman"/>
        <family val="1"/>
      </rPr>
      <t>Activate the Data tab.</t>
    </r>
  </si>
  <si>
    <r>
      <t>2)    </t>
    </r>
    <r>
      <rPr>
        <sz val="12"/>
        <color rgb="FF333333"/>
        <rFont val="Times New Roman"/>
        <family val="1"/>
      </rPr>
      <t>In the Data Tools group, click What-If Analysis and choose Goal Seek to open the Goal Seek dialog box,</t>
    </r>
  </si>
  <si>
    <r>
      <t>3)    </t>
    </r>
    <r>
      <rPr>
        <sz val="12"/>
        <color rgb="FF333333"/>
        <rFont val="Times New Roman"/>
        <family val="1"/>
      </rPr>
      <t>In the Set cell box, specify the cell that contains the formula you want to solve.</t>
    </r>
  </si>
  <si>
    <r>
      <t>4)    </t>
    </r>
    <r>
      <rPr>
        <sz val="12"/>
        <color rgb="FF333333"/>
        <rFont val="Times New Roman"/>
        <family val="1"/>
      </rPr>
      <t>In the "To Value" field, enter the result you want.</t>
    </r>
  </si>
  <si>
    <t>Projecting Figures Using a Data Table</t>
  </si>
  <si>
    <t>A Data Table is a range that displays the results when certain values are changed in one or more formulas. The different values you want to enter in a formula are also included in the Data Table. A Data Table can have either a single variable or two variables.</t>
  </si>
  <si>
    <t>One-Variable Data Tables</t>
  </si>
  <si>
    <t>To create a one-variable Data Table:</t>
  </si>
  <si>
    <r>
      <t>1)    </t>
    </r>
    <r>
      <rPr>
        <sz val="12"/>
        <color rgb="FF333333"/>
        <rFont val="Times New Roman"/>
        <family val="1"/>
      </rPr>
      <t>Enter input values in a row or a column.</t>
    </r>
  </si>
  <si>
    <r>
      <t>2)    </t>
    </r>
    <r>
      <rPr>
        <sz val="12"/>
        <color rgb="FF333333"/>
        <rFont val="Times New Roman"/>
        <family val="1"/>
      </rPr>
      <t>If you list the input values in a column, then enter the formula in the cell located at the intersection of the row above the first input value and the column to the right of the input values, as shown in diagram. If you list the input values in a row, enter the formula in the cell located at the intersection of the column to the left of the first value and the row just below the row of input values.</t>
    </r>
  </si>
  <si>
    <r>
      <t>3)    </t>
    </r>
    <r>
      <rPr>
        <sz val="12"/>
        <color rgb="FF333333"/>
        <rFont val="Times New Roman"/>
        <family val="1"/>
      </rPr>
      <t>Select the range containing the input values and the formula.</t>
    </r>
  </si>
  <si>
    <r>
      <t>4)    </t>
    </r>
    <r>
      <rPr>
        <sz val="12"/>
        <color rgb="FF333333"/>
        <rFont val="Times New Roman"/>
        <family val="1"/>
      </rPr>
      <t>On the Data tab, in the Data Tools group, click What-If Analysis and choose Data Table to open the Table dialog box.</t>
    </r>
  </si>
  <si>
    <r>
      <t>5)    </t>
    </r>
    <r>
      <rPr>
        <sz val="12"/>
        <color rgb="FF333333"/>
        <rFont val="Times New Roman"/>
        <family val="1"/>
      </rPr>
      <t>If the input values are in a column, specify the input cell in the Column input cell box. If the input values are in a row, use the Row input cell box.</t>
    </r>
  </si>
  <si>
    <r>
      <t>6)    </t>
    </r>
    <r>
      <rPr>
        <sz val="12"/>
        <color rgb="FF333333"/>
        <rFont val="Times New Roman"/>
        <family val="1"/>
      </rPr>
      <t>Click OK.</t>
    </r>
  </si>
  <si>
    <t>Two-Variable Data Tables</t>
  </si>
  <si>
    <t>You can use a two-variable Data Table to see the effect of changing two variables in one or more formulas, as shown in diagram. For example, you can see how changing the Loan Amount and the number of payments affect the monthly payment.</t>
  </si>
  <si>
    <t>To create a two-variable data table:</t>
  </si>
  <si>
    <r>
      <t>1)    </t>
    </r>
    <r>
      <rPr>
        <sz val="12"/>
        <color rgb="FF333333"/>
        <rFont val="Times New Roman"/>
        <family val="1"/>
      </rPr>
      <t>Enter a formula that contains two input cells.</t>
    </r>
  </si>
  <si>
    <r>
      <t>2)    </t>
    </r>
    <r>
      <rPr>
        <sz val="12"/>
        <color rgb="FF333333"/>
        <rFont val="Times New Roman"/>
        <family val="1"/>
      </rPr>
      <t>In the same column, below the formula, enter the first list of input values. In the same row, to the right of the formula, enter the second list of input values.</t>
    </r>
  </si>
  <si>
    <r>
      <t>3)    </t>
    </r>
    <r>
      <rPr>
        <sz val="12"/>
        <color rgb="FF333333"/>
        <rFont val="Times New Roman"/>
        <family val="1"/>
      </rPr>
      <t>Select the range containing both the input values and the formula.</t>
    </r>
  </si>
  <si>
    <r>
      <t>4)    </t>
    </r>
    <r>
      <rPr>
        <sz val="12"/>
        <color rgb="FF333333"/>
        <rFont val="Times New Roman"/>
        <family val="1"/>
      </rPr>
      <t>In the Data Tools group, click What-If Analysis and choose Data Table to open the Table dialog box.</t>
    </r>
  </si>
  <si>
    <r>
      <t>5)    </t>
    </r>
    <r>
      <rPr>
        <sz val="12"/>
        <color rgb="FF333333"/>
        <rFont val="Times New Roman"/>
        <family val="1"/>
      </rPr>
      <t>In the Row input cell box, specify the row input cell.</t>
    </r>
  </si>
  <si>
    <r>
      <t>6)    </t>
    </r>
    <r>
      <rPr>
        <sz val="12"/>
        <color rgb="FF333333"/>
        <rFont val="Times New Roman"/>
        <family val="1"/>
      </rPr>
      <t>In the Column input cell box, specify the column input cell.</t>
    </r>
  </si>
  <si>
    <r>
      <t>7)    </t>
    </r>
    <r>
      <rPr>
        <sz val="12"/>
        <color rgb="FF333333"/>
        <rFont val="Times New Roman"/>
        <family val="1"/>
      </rPr>
      <t>Click OK.</t>
    </r>
  </si>
  <si>
    <t>What-If Scenarios</t>
  </si>
  <si>
    <t>Scenarios are part of a suite of commands sometimes called what-if analysis tools. A scenario is a set of values that Microsoft Excel saves and can substitute automatically in your worksheet. You can use scenarios to forecast the outcome of a worksheet model. You can create and save different groups of values on a worksheet and then switch to any of these new scenarios to view different results. You can define up to 32 changing cell per scenario.</t>
  </si>
  <si>
    <t>You can use the Scenario Manager to:</t>
  </si>
  <si>
    <t>•    Create multiple scenarios with multiple sets of changing cells.</t>
  </si>
  <si>
    <t>•    View the results of each scenario on your worksheet.</t>
  </si>
  <si>
    <t>•    Create a summary report of all input values and results.</t>
  </si>
  <si>
    <t>•    Merge scenarios from a group into a single scenario model.</t>
  </si>
  <si>
    <t>•    Protect scenarios from modification and hide scenarios.</t>
  </si>
  <si>
    <t>•    Keep track of modifications with an automatic scenario history.</t>
  </si>
  <si>
    <t>Creating Scenarios    </t>
  </si>
  <si>
    <t>For example, you have to analyze the net income of a business side-by-side under best, worst and current circumstances in the below illustration. You may use scenario manager to achieve the required result in a summary format.</t>
  </si>
  <si>
    <t>You can use the Scenario Manager Dialog box to create scenarios. Follow the steps below to do the same</t>
  </si>
  <si>
    <r>
      <t>2)    </t>
    </r>
    <r>
      <rPr>
        <sz val="12"/>
        <color rgb="FF333333"/>
        <rFont val="Times New Roman"/>
        <family val="1"/>
      </rPr>
      <t>From the What-If Analysis list in the Data Tools group, select Scenario Manager to open the Scenario Manager Dialog box.</t>
    </r>
  </si>
  <si>
    <r>
      <t>3)    </t>
    </r>
    <r>
      <rPr>
        <sz val="12"/>
        <color rgb="FF333333"/>
        <rFont val="Times New Roman"/>
        <family val="1"/>
      </rPr>
      <t>Click the Add button to open the Add Scenario dialog box.</t>
    </r>
  </si>
  <si>
    <r>
      <t>4)    </t>
    </r>
    <r>
      <rPr>
        <sz val="12"/>
        <color rgb="FF333333"/>
        <rFont val="Times New Roman"/>
        <family val="1"/>
      </rPr>
      <t>In the Scenario name box, specify the name of the scenario.</t>
    </r>
  </si>
  <si>
    <r>
      <t>5)    </t>
    </r>
    <r>
      <rPr>
        <sz val="12"/>
        <color rgb="FF333333"/>
        <rFont val="Times New Roman"/>
        <family val="1"/>
      </rPr>
      <t>In the Changing cells box, specify the cells that contain the values you want to change. [eg select the range of current scenario range]</t>
    </r>
  </si>
  <si>
    <r>
      <t>6)    </t>
    </r>
    <r>
      <rPr>
        <sz val="12"/>
        <color rgb="FF333333"/>
        <rFont val="Times New Roman"/>
        <family val="1"/>
      </rPr>
      <t>Click OK to open the Scenario Values dialog box.</t>
    </r>
  </si>
  <si>
    <t>If you want to create additional scenarios, click Add again, and then repeat the procedure. When you finish creating scenarios, click OK. </t>
  </si>
  <si>
    <t>In First Change, the loan amount is 150000, rate of interest is 10.6% and number of terms is 24. In second change, the loan amount is 200000; the rate of interest is 11% and number of payments 48</t>
  </si>
  <si>
    <t>Create a Scenario Summary Report</t>
  </si>
  <si>
    <r>
      <t>1)    </t>
    </r>
    <r>
      <rPr>
        <sz val="12"/>
        <color rgb="FF333333"/>
        <rFont val="Times New Roman"/>
        <family val="1"/>
      </rPr>
      <t>Click Summary. Scenario Manager dialog box</t>
    </r>
  </si>
  <si>
    <r>
      <t>2)    </t>
    </r>
    <r>
      <rPr>
        <sz val="12"/>
        <color rgb="FF333333"/>
        <rFont val="Times New Roman"/>
        <family val="1"/>
      </rPr>
      <t>In the Result cells box, enter the references for the cells that refer to cells whose values are changed by the scenarios [Net Income in the above example]. Separate multiple references with commas. </t>
    </r>
  </si>
  <si>
    <t>Delete a Scenario</t>
  </si>
  <si>
    <r>
      <t>2)    </t>
    </r>
    <r>
      <rPr>
        <sz val="12"/>
        <color rgb="FF333333"/>
        <rFont val="Times New Roman"/>
        <family val="1"/>
      </rPr>
      <t>From the What-If Analysis list in the Data Tools group, select Scenario Manager to open the Scenario Manager Dialog box Click the name of the scenario you want to delete, and then click Delete.</t>
    </r>
  </si>
  <si>
    <t>Display a Scenario</t>
  </si>
  <si>
    <t>When you display a scenario, you change the values of the cells saved as part of that scenario.</t>
  </si>
  <si>
    <r>
      <t>2)    </t>
    </r>
    <r>
      <rPr>
        <sz val="12"/>
        <color rgb="FF333333"/>
        <rFont val="Times New Roman"/>
        <family val="1"/>
      </rPr>
      <t>From the What-If Analysis list in the Data Tools group, select Scenario Manager to open the Scenario Manager dialog box</t>
    </r>
  </si>
  <si>
    <r>
      <t>Tip</t>
    </r>
    <r>
      <rPr>
        <sz val="12"/>
        <color rgb="FF333333"/>
        <rFont val="Times New Roman"/>
        <family val="1"/>
      </rPr>
      <t>: Double-clicking the name of the scenario displayed in the Scenarios box is the same as selecting the name and choosing the Show values.</t>
    </r>
  </si>
  <si>
    <t>Merge Scenarios from another Worksheet</t>
  </si>
  <si>
    <t>It is easier to merge scenarios when all what-if models on the worksheets are identical. All changing cells on the source worksheet must refer to the corresponding changing cells on the active worksheet. Microsoft Excel copies all scenarios on the source sheet to the active worksheet.</t>
  </si>
  <si>
    <r>
      <t>1)    </t>
    </r>
    <r>
      <rPr>
        <sz val="12"/>
        <color rgb="FF333333"/>
        <rFont val="Times New Roman"/>
        <family val="1"/>
      </rPr>
      <t>Open all of the workbooks that contain the scenarios you want to merge. </t>
    </r>
  </si>
  <si>
    <r>
      <t>2)    </t>
    </r>
    <r>
      <rPr>
        <sz val="12"/>
        <color rgb="FF333333"/>
        <rFont val="Times New Roman"/>
        <family val="1"/>
      </rPr>
      <t>Switch to the worksheet where you want to merge the scenarios. </t>
    </r>
  </si>
  <si>
    <r>
      <t>3)    </t>
    </r>
    <r>
      <rPr>
        <sz val="12"/>
        <color rgb="FF333333"/>
        <rFont val="Times New Roman"/>
        <family val="1"/>
      </rPr>
      <t>Activate the Data tab.</t>
    </r>
  </si>
  <si>
    <r>
      <t>6)    </t>
    </r>
    <r>
      <rPr>
        <sz val="12"/>
        <color rgb="FF333333"/>
        <rFont val="Times New Roman"/>
        <family val="1"/>
      </rPr>
      <t>In the Book box, click a workbook name. </t>
    </r>
  </si>
  <si>
    <r>
      <t>7)    </t>
    </r>
    <r>
      <rPr>
        <sz val="12"/>
        <color rgb="FF333333"/>
        <rFont val="Times New Roman"/>
        <family val="1"/>
      </rPr>
      <t>In the Sheet box, click the name of a worksheet that contains the scenarios you want to merge, and then click OK. </t>
    </r>
  </si>
  <si>
    <r>
      <t>8)    </t>
    </r>
    <r>
      <rPr>
        <sz val="12"/>
        <color rgb="FF333333"/>
        <rFont val="Times New Roman"/>
        <family val="1"/>
      </rPr>
      <t>Repeat this process if you want to merge scenarios from more worksheets. </t>
    </r>
  </si>
  <si>
    <t>Protecting Scenarios</t>
  </si>
  <si>
    <t>The Add Scenario and Edit Scenario dialog boxes contain two protection options: </t>
  </si>
  <si>
    <t>?    Prevent Changes  ?       Hide. </t>
  </si>
  <si>
    <t>If you select Prevent Changes and then activate sheet protection, the scenarios you define cannot be edited.  However, this does not prevent you from seeing the values of the changing cells directly on the sheet (unless the cells themselves are locked).  Rather, the scenarios themselves are protected from modification when the Prevent Changes check box is selected. </t>
  </si>
  <si>
    <t>In addition, selecting the Hide check box removes a scenario name from the list of defined scenarios, preventing its display.</t>
  </si>
  <si>
    <t>Once you select protection options in the Add Scenario or Edit Scenario dialog box, you must activate sheet protection. To do this, use the protection command on the Tools menu, and then choose Protect Sheet.</t>
  </si>
  <si>
    <r>
      <t>Note</t>
    </r>
    <r>
      <rPr>
        <sz val="12"/>
        <color rgb="FF333333"/>
        <rFont val="Times New Roman"/>
        <family val="1"/>
      </rPr>
      <t>:  When sheet protection is activated, you can still add scenarios.  However, you cannot edit or delete them unless the Prevent Changes check box is cleared.</t>
    </r>
  </si>
  <si>
    <t>The Goal Seek feature in Excel helps us to compute a value for the spreadsheet input that makes the value for the given formula match the goal you specify. Goal Seeking saves you from performing time consuming trial-and-error analysis.</t>
  </si>
  <si>
    <r>
      <t>5)    </t>
    </r>
    <r>
      <rPr>
        <sz val="12"/>
        <color rgb="FF333333"/>
        <rFont val="Times New Roman"/>
        <family val="1"/>
      </rPr>
      <t>In the "By Changing Cell" field, specify the cell that contains the value you want to adjust. </t>
    </r>
  </si>
  <si>
    <r>
      <t xml:space="preserve">6)    </t>
    </r>
    <r>
      <rPr>
        <sz val="12"/>
        <color rgb="FF333333"/>
        <rFont val="Times New Roman"/>
        <family val="1"/>
      </rPr>
      <t>Click OK. </t>
    </r>
  </si>
  <si>
    <r>
      <t xml:space="preserve">A person takes a Loan of 50,00,000 for 20yrs and the EMI [PMT] is 46,607 , if he pays Rs. 35000 monthly, in how many months would he complete his payment. </t>
    </r>
    <r>
      <rPr>
        <b/>
        <sz val="12"/>
        <color rgb="FF333333"/>
        <rFont val="Times New Roman"/>
        <family val="1"/>
      </rPr>
      <t>Try solving Exer 10</t>
    </r>
  </si>
  <si>
    <t>You can use a one-variable Data Table to observe the effects of change in a single variable in one or more formulas. For example, you can see, how changing the interest rate affects monthly payments in the function PMT(b5/12,240, 5000000). In this function, A5 is called the input cell, where various input values are substituted from the Data Table.</t>
  </si>
  <si>
    <t>If EMI is Rs. 35000 then how much loan should be availed by this person</t>
  </si>
  <si>
    <t>Question</t>
  </si>
  <si>
    <t>Final Assignment</t>
  </si>
  <si>
    <t>Salary statement for the month of April</t>
  </si>
  <si>
    <t>SANTOSH</t>
  </si>
  <si>
    <t>BHAUMIK</t>
  </si>
  <si>
    <t>MANJIT</t>
  </si>
  <si>
    <t>KAMAL</t>
  </si>
  <si>
    <t>SONU</t>
  </si>
  <si>
    <r>
      <t>1)   </t>
    </r>
    <r>
      <rPr>
        <sz val="12"/>
        <color rgb="FF333333"/>
        <rFont val="Times New Roman"/>
        <family val="1"/>
      </rPr>
      <t>Calculate DA for Officer 10%, Manager 15%, &amp; Clerk 5% of Basic (using Vlookup).</t>
    </r>
  </si>
  <si>
    <r>
      <t>2)   </t>
    </r>
    <r>
      <rPr>
        <sz val="12"/>
        <color rgb="FF333333"/>
        <rFont val="Times New Roman"/>
        <family val="1"/>
      </rPr>
      <t>Calculate HRA as following condition (using If condition) For Officer 1000, Manager 1500, Clerk 500</t>
    </r>
  </si>
  <si>
    <r>
      <t>3)   </t>
    </r>
    <r>
      <rPr>
        <sz val="12"/>
        <color rgb="FF333333"/>
        <rFont val="Times New Roman"/>
        <family val="1"/>
      </rPr>
      <t>Calculate Conveyance 10 % of Basic using (Range Name)</t>
    </r>
  </si>
  <si>
    <r>
      <t>4)   </t>
    </r>
    <r>
      <rPr>
        <sz val="12"/>
        <color rgb="FF333333"/>
        <rFont val="Times New Roman"/>
        <family val="1"/>
      </rPr>
      <t>Calculate Gross [ie Basic + DA +HRA+CONV]</t>
    </r>
  </si>
  <si>
    <r>
      <t>5)   </t>
    </r>
    <r>
      <rPr>
        <sz val="12"/>
        <color rgb="FF333333"/>
        <rFont val="Times New Roman"/>
        <family val="1"/>
      </rPr>
      <t>Calculate ESIC according to Slab-wise on Basic as follows(using Vlookup)</t>
    </r>
  </si>
  <si>
    <t>•    From 0       -  1000  =    50</t>
  </si>
  <si>
    <t>•    1001 - 3000   = 100</t>
  </si>
  <si>
    <t>•    3001 - 5000   = 250</t>
  </si>
  <si>
    <t>•    &gt;5000 = 300</t>
  </si>
  <si>
    <r>
      <t>6)   </t>
    </r>
    <r>
      <rPr>
        <sz val="12"/>
        <color rgb="FF333333"/>
        <rFont val="Times New Roman"/>
        <family val="1"/>
      </rPr>
      <t>Calculate Tax according to Slab-wise on Gross (using if function)</t>
    </r>
  </si>
  <si>
    <t>•    i.e. &lt;10000                         =      0</t>
  </si>
  <si>
    <t>•    &gt;10000 &amp;&lt;15000              =      750</t>
  </si>
  <si>
    <t>•    &gt;15000                                =      1500</t>
  </si>
  <si>
    <r>
      <t>7)   </t>
    </r>
    <r>
      <rPr>
        <sz val="12"/>
        <color rgb="FF333333"/>
        <rFont val="Times New Roman"/>
        <family val="1"/>
      </rPr>
      <t>Calculate P.F as 5 % on Basic Salary</t>
    </r>
  </si>
  <si>
    <r>
      <t>8)   </t>
    </r>
    <r>
      <rPr>
        <sz val="12"/>
        <color rgb="FF333333"/>
        <rFont val="Times New Roman"/>
        <family val="1"/>
      </rPr>
      <t>Calculate Loan 2% of Gross</t>
    </r>
  </si>
  <si>
    <r>
      <t>9)   </t>
    </r>
    <r>
      <rPr>
        <sz val="12"/>
        <color rgb="FF333333"/>
        <rFont val="Times New Roman"/>
        <family val="1"/>
      </rPr>
      <t>Calculate Net Salary ie [Gross-[ESIC+IT+PF+LOAN]]</t>
    </r>
  </si>
  <si>
    <t>Make multiple copies of the Worksheet and solve the following questions in different sheets. Name the sheets with question number example answer to question number 10 would be solved in the worksheet name q10.</t>
  </si>
  <si>
    <r>
      <t>10)  </t>
    </r>
    <r>
      <rPr>
        <sz val="12"/>
        <color rgb="FF333333"/>
        <rFont val="Times New Roman"/>
        <family val="1"/>
      </rPr>
      <t>Create a Chart of Name, Basic, Gross &amp; Net [Should be well formatted]</t>
    </r>
  </si>
  <si>
    <r>
      <t>11)  </t>
    </r>
    <r>
      <rPr>
        <sz val="12"/>
        <color rgb="FF333333"/>
        <rFont val="Times New Roman"/>
        <family val="1"/>
      </rPr>
      <t>Sort your Records Desg wise. [ie Manager then officer and then clerk] [ Custom Sort]</t>
    </r>
  </si>
  <si>
    <r>
      <t>12)  </t>
    </r>
    <r>
      <rPr>
        <sz val="12"/>
        <color rgb="FF333333"/>
        <rFont val="Times New Roman"/>
        <family val="1"/>
      </rPr>
      <t>Display only the records of Clerk &amp; Manager [Using Auto Filter].</t>
    </r>
  </si>
  <si>
    <r>
      <t>13)  </t>
    </r>
    <r>
      <rPr>
        <sz val="12"/>
        <color rgb="FF333333"/>
        <rFont val="Times New Roman"/>
        <family val="1"/>
      </rPr>
      <t>Display the Records of those people whose Net Salary is between 1000 –3000 and 6000-9000 and get the result on a new page [Using Advance Filter].</t>
    </r>
  </si>
  <si>
    <r>
      <t>14)  </t>
    </r>
    <r>
      <rPr>
        <sz val="12"/>
        <color rgb="FF333333"/>
        <rFont val="Times New Roman"/>
        <family val="1"/>
      </rPr>
      <t>Get the total salary branch wise by subtotal [Using Subtotal Command].</t>
    </r>
  </si>
  <si>
    <r>
      <t>15)  </t>
    </r>
    <r>
      <rPr>
        <sz val="12"/>
        <color rgb="FF333333"/>
        <rFont val="Times New Roman"/>
        <family val="1"/>
      </rPr>
      <t>Create a Pivot Report Branch wise, Designation wise Net Salary &amp; count the No of Employee.</t>
    </r>
  </si>
  <si>
    <r>
      <t>16)  </t>
    </r>
    <r>
      <rPr>
        <sz val="12"/>
        <color rgb="FF333333"/>
        <rFont val="Times New Roman"/>
        <family val="1"/>
      </rPr>
      <t>Freeze the Name column &amp; the heading of the data. [Using Freeze Pane].</t>
    </r>
  </si>
  <si>
    <r>
      <t>17)  </t>
    </r>
    <r>
      <rPr>
        <sz val="12"/>
        <color rgb="FF333333"/>
        <rFont val="Times New Roman"/>
        <family val="1"/>
      </rPr>
      <t>Highlight the Entire Row where the Designation = Manager [Using Conditional Formatting].</t>
    </r>
  </si>
  <si>
    <r>
      <t>18)  </t>
    </r>
    <r>
      <rPr>
        <sz val="12"/>
        <color rgb="FF333333"/>
        <rFont val="Times New Roman"/>
        <family val="1"/>
      </rPr>
      <t>Protect the Whole sheet in such a fashion that you can make changes in Salary column and all the formula should be lock and hidden.</t>
    </r>
  </si>
  <si>
    <r>
      <t>19)  </t>
    </r>
    <r>
      <rPr>
        <sz val="12"/>
        <color rgb="FF333333"/>
        <rFont val="Times New Roman"/>
        <family val="1"/>
      </rPr>
      <t>Create a Scenario of Increment for Kamal and Sonu in their basic Salary by 5000 and find out what will be the Net salary.</t>
    </r>
  </si>
  <si>
    <r>
      <t>20)  </t>
    </r>
    <r>
      <rPr>
        <sz val="12"/>
        <color rgb="FF333333"/>
        <rFont val="Times New Roman"/>
        <family val="1"/>
      </rPr>
      <t>Give Password to the File as Final.</t>
    </r>
  </si>
  <si>
    <t xml:space="preserve">           </t>
  </si>
  <si>
    <t>Solve the below questions</t>
  </si>
  <si>
    <r>
      <t>7)    </t>
    </r>
    <r>
      <rPr>
        <sz val="12"/>
        <color rgb="FF333333"/>
        <rFont val="Times New Roman"/>
        <family val="1"/>
      </rPr>
      <t>In the Scenario Values dialog box, specify values for the changing cells. </t>
    </r>
  </si>
  <si>
    <r>
      <t xml:space="preserve">8)    </t>
    </r>
    <r>
      <rPr>
        <sz val="12"/>
        <color rgb="FF333333"/>
        <rFont val="Times New Roman"/>
        <family val="1"/>
      </rPr>
      <t>Click OK to create the scenario</t>
    </r>
  </si>
  <si>
    <r>
      <t>3)    </t>
    </r>
    <r>
      <rPr>
        <sz val="12"/>
        <color rgb="FF333333"/>
        <rFont val="Times New Roman"/>
        <family val="1"/>
      </rPr>
      <t>Click the name of the scenario you want to display.  </t>
    </r>
  </si>
  <si>
    <r>
      <t xml:space="preserve">4)    </t>
    </r>
    <r>
      <rPr>
        <sz val="12"/>
        <color rgb="FF333333"/>
        <rFont val="Times New Roman"/>
        <family val="1"/>
      </rPr>
      <t>Click Show. </t>
    </r>
  </si>
  <si>
    <r>
      <t>4)    </t>
    </r>
    <r>
      <rPr>
        <sz val="12"/>
        <color rgb="FF333333"/>
        <rFont val="Times New Roman"/>
        <family val="1"/>
      </rPr>
      <t>From the What-If Analysis list in the Data Tools group, select Scenario Manager to open the Scenario Manager dialog box </t>
    </r>
  </si>
  <si>
    <r>
      <t xml:space="preserve">5)    </t>
    </r>
    <r>
      <rPr>
        <sz val="12"/>
        <color rgb="FF333333"/>
        <rFont val="Times New Roman"/>
        <family val="1"/>
      </rPr>
      <t>Click Merge. </t>
    </r>
  </si>
  <si>
    <t>In the following example, if we need to know the pmt for a range of loan amounts, rate of interests and number of payments, we may use scenarios. Try in Exer 11</t>
  </si>
  <si>
    <t>Solver for Advanced Goal Seek</t>
  </si>
  <si>
    <t>Units Sold</t>
  </si>
  <si>
    <t>Price per unit</t>
  </si>
  <si>
    <t>INPUT</t>
  </si>
  <si>
    <t>Revenue</t>
  </si>
  <si>
    <t>Cost Per unit</t>
  </si>
  <si>
    <t>Costs</t>
  </si>
  <si>
    <t>With Goal seek you can change only One cell and not the other cells data.</t>
  </si>
  <si>
    <t xml:space="preserve">For example :- </t>
  </si>
  <si>
    <t>You want to change the Units Sold and it must be rounded</t>
  </si>
  <si>
    <t>Price Per Unit cant go above Rs. 4 (i.e. &lt;=4/-)</t>
  </si>
  <si>
    <t>Cost per unit must be below Rs. 1.50 (i.e. &lt;=1.50/-)</t>
  </si>
  <si>
    <t>Solve a Complex Problem with Solver</t>
  </si>
  <si>
    <t>Project Name</t>
  </si>
  <si>
    <t xml:space="preserve">Prod Cost </t>
  </si>
  <si>
    <t>Fixed Cost</t>
  </si>
  <si>
    <t xml:space="preserve">Extra Cost </t>
  </si>
  <si>
    <t>Total costs</t>
  </si>
  <si>
    <t>Proj A</t>
  </si>
  <si>
    <t>Proj B</t>
  </si>
  <si>
    <t>Proj C</t>
  </si>
  <si>
    <t>Proj D</t>
  </si>
  <si>
    <t>Proj E</t>
  </si>
  <si>
    <t>Proj F</t>
  </si>
  <si>
    <t>Proj G</t>
  </si>
  <si>
    <t>Proj H</t>
  </si>
  <si>
    <t>Proj I</t>
  </si>
  <si>
    <t>Total Costs</t>
  </si>
  <si>
    <t>Constraints</t>
  </si>
  <si>
    <t xml:space="preserve">Total Budget should not exceed </t>
  </si>
  <si>
    <t>Extra costs should not exceed</t>
  </si>
  <si>
    <t>Fixed costs need to reamain at</t>
  </si>
  <si>
    <t xml:space="preserve">Total Proj Costs for each project should not exceed </t>
  </si>
  <si>
    <t>Maize</t>
  </si>
  <si>
    <t>Category</t>
  </si>
  <si>
    <t>Quarter</t>
  </si>
  <si>
    <t>Beverages</t>
  </si>
  <si>
    <t>Chai</t>
  </si>
  <si>
    <t>Qtr 1</t>
  </si>
  <si>
    <t>Qtr 2</t>
  </si>
  <si>
    <t>Qtr 3</t>
  </si>
  <si>
    <t>Qtr 4</t>
  </si>
  <si>
    <t>Chang</t>
  </si>
  <si>
    <t>Chartreuse verte</t>
  </si>
  <si>
    <t>Côte de Blaye</t>
  </si>
  <si>
    <t>Guaraná Fantástica</t>
  </si>
  <si>
    <t>Ipoh Coffee</t>
  </si>
  <si>
    <t>Lakkalikööri</t>
  </si>
  <si>
    <t>Laughing Lumberjack Lager</t>
  </si>
  <si>
    <t>Outback Lager</t>
  </si>
  <si>
    <t>Rhönbräu Klosterbier</t>
  </si>
  <si>
    <t>Sasquatch Ale</t>
  </si>
  <si>
    <t>Steeleye Stout</t>
  </si>
  <si>
    <t>Condiments</t>
  </si>
  <si>
    <t>Aniseed Syrup</t>
  </si>
  <si>
    <t>Chef Anton's Cajun Seasoning</t>
  </si>
  <si>
    <t>Chef Anton's Gumbo Mix</t>
  </si>
  <si>
    <t>Genen Shouyu</t>
  </si>
  <si>
    <t>Grandma's Boysenberry Spread</t>
  </si>
  <si>
    <t>Gula Malacca</t>
  </si>
  <si>
    <t>Louisiana Fiery Hot Pepper Sauce</t>
  </si>
  <si>
    <t>Louisiana Hot Spiced Okra</t>
  </si>
  <si>
    <t>Northwoods Cranberry Sauce</t>
  </si>
  <si>
    <t>Original Frankfurter grüne Soße</t>
  </si>
  <si>
    <t>Sirop d'érable</t>
  </si>
  <si>
    <t>Vegie-spread</t>
  </si>
  <si>
    <t>Confections</t>
  </si>
  <si>
    <t>Chocolade</t>
  </si>
  <si>
    <t>Gumbär Gummibärchen</t>
  </si>
  <si>
    <t>Maxilaku</t>
  </si>
  <si>
    <t>NuNuCa Nuß-Nougat-Creme</t>
  </si>
  <si>
    <t>Pavlova</t>
  </si>
  <si>
    <t>Schoggi Schokolade</t>
  </si>
  <si>
    <t>Scottish Longbreads</t>
  </si>
  <si>
    <t>Sir Rodney's Marmalade</t>
  </si>
  <si>
    <t>Sir Rodney's Scones</t>
  </si>
  <si>
    <t>Tarte au sucre</t>
  </si>
  <si>
    <t>Teatime Chocolate Biscuits</t>
  </si>
  <si>
    <t>Valkoinen suklaa</t>
  </si>
  <si>
    <t>Zaanse koeken</t>
  </si>
  <si>
    <t>Dairy Products</t>
  </si>
  <si>
    <t>Camembert Pierrot</t>
  </si>
  <si>
    <t>Fløtemysost</t>
  </si>
  <si>
    <t>Geitost</t>
  </si>
  <si>
    <t>Gorgonzola Telino</t>
  </si>
  <si>
    <t>Gudbrandsdalsost</t>
  </si>
  <si>
    <t>Mascarpone Fabioli</t>
  </si>
  <si>
    <t>Mozzarella di Giovanni</t>
  </si>
  <si>
    <t>Queso Cabrales</t>
  </si>
  <si>
    <t>Queso Manchego La Pastora</t>
  </si>
  <si>
    <t>Raclette Courdavault</t>
  </si>
  <si>
    <t>Grains/Cereals</t>
  </si>
  <si>
    <t>Filo Mix</t>
  </si>
  <si>
    <t>Gnocchi di nonna Alice</t>
  </si>
  <si>
    <t>Gustaf's Knäckebröd</t>
  </si>
  <si>
    <t>Ravioli Angelo</t>
  </si>
  <si>
    <t>Singaporean Hokkien Fried Mee</t>
  </si>
  <si>
    <t>Tunnbröd</t>
  </si>
  <si>
    <t>Wimmers gute Semmelknödel</t>
  </si>
  <si>
    <t>Meat/Poultry</t>
  </si>
  <si>
    <t>Alice Mutton</t>
  </si>
  <si>
    <t>Mishi Kobe Niku</t>
  </si>
  <si>
    <t>Pâté chinois</t>
  </si>
  <si>
    <t>Perth Pasties</t>
  </si>
  <si>
    <t>Thüringer Rostbratwurst</t>
  </si>
  <si>
    <t>Tourtière</t>
  </si>
  <si>
    <t>Produce</t>
  </si>
  <si>
    <t>Longlife Tofu</t>
  </si>
  <si>
    <t>Manjimup Dried Apples</t>
  </si>
  <si>
    <t>Rössle Sauerkraut</t>
  </si>
  <si>
    <t>Tofu</t>
  </si>
  <si>
    <t>Uncle Bob's Organic Dried Pears</t>
  </si>
  <si>
    <t>Seafood</t>
  </si>
  <si>
    <t>Boston Crab Meat</t>
  </si>
  <si>
    <t>Carnarvon Tigers</t>
  </si>
  <si>
    <t>Escargots de Bourgogne</t>
  </si>
  <si>
    <t>Gravad lax</t>
  </si>
  <si>
    <t>Ikura</t>
  </si>
  <si>
    <t>Inlagd Sill</t>
  </si>
  <si>
    <t>Jack's New England Clam Chowder</t>
  </si>
  <si>
    <t>Konbu</t>
  </si>
  <si>
    <t>Nord-Ost Matjeshering</t>
  </si>
  <si>
    <t>Röd Kaviar</t>
  </si>
  <si>
    <t>Røgede sild</t>
  </si>
  <si>
    <t>Spegesild</t>
  </si>
  <si>
    <t>Exer 9</t>
  </si>
  <si>
    <t>Profit</t>
  </si>
  <si>
    <t>Calculating Day / Month / Year</t>
  </si>
  <si>
    <t>Taking out Year / Month / Day</t>
  </si>
  <si>
    <t>Age in Years &amp; Months</t>
  </si>
  <si>
    <t>Date</t>
  </si>
  <si>
    <t>Period</t>
  </si>
  <si>
    <t>Month</t>
  </si>
  <si>
    <t>Year</t>
  </si>
  <si>
    <t>Day</t>
  </si>
  <si>
    <t>Dates</t>
  </si>
  <si>
    <t>Employee</t>
  </si>
  <si>
    <t>Birthday</t>
  </si>
  <si>
    <t>Today</t>
  </si>
  <si>
    <t>Combined both Yr and Month</t>
  </si>
  <si>
    <t>=DATE(B5,C5,D5)</t>
  </si>
  <si>
    <t>=YEAR(AN5)</t>
  </si>
  <si>
    <t>=MONTH(AN5)</t>
  </si>
  <si>
    <t>=DAY(AN5)</t>
  </si>
  <si>
    <t>Fletcher</t>
  </si>
  <si>
    <t>=DATEDIF(AX5,AY5,"Y") &amp; " years and " &amp; DATEDIF(AX5,AY5,"YM") &amp; " months"</t>
  </si>
  <si>
    <t>=DATE(B6,C6,D6)</t>
  </si>
  <si>
    <t>=YEAR(AN6)</t>
  </si>
  <si>
    <t>=MONTH(AN6)</t>
  </si>
  <si>
    <t>=DAY(AN6)</t>
  </si>
  <si>
    <t>Stone</t>
  </si>
  <si>
    <t>=DATEDIF(AX6,AY6,"Y") &amp; " years and " &amp; DATEDIF(AX6,AY6,"YM") &amp; " months"</t>
  </si>
  <si>
    <t>=DATE(B7,C7,D7)</t>
  </si>
  <si>
    <t>=YEAR(AN7)</t>
  </si>
  <si>
    <t>=MONTH(AN7)</t>
  </si>
  <si>
    <t>=DAY(AN7)</t>
  </si>
  <si>
    <t>Kerry</t>
  </si>
  <si>
    <t>=DATEDIF(AX7,AY7,"Y") &amp; " years and " &amp; DATEDIF(AX7,AY7,"YM") &amp; " months"</t>
  </si>
  <si>
    <t>=DATE(B8,C8,D8)</t>
  </si>
  <si>
    <t>january 1999</t>
  </si>
  <si>
    <t>=YEAR(AN8)</t>
  </si>
  <si>
    <t>=MONTH(AN8)</t>
  </si>
  <si>
    <t>=DAY(AN8)</t>
  </si>
  <si>
    <t>Butler</t>
  </si>
  <si>
    <t>=DATEDIF(AX8,AY8,"Y") &amp; " years and " &amp; DATEDIF(AX8,AY8,"YM") &amp; " months"</t>
  </si>
  <si>
    <t>=DATE(B9,C9,D9)</t>
  </si>
  <si>
    <t>12/2005</t>
  </si>
  <si>
    <t>=YEAR(AN9)</t>
  </si>
  <si>
    <t>=MONTH(AN9)</t>
  </si>
  <si>
    <t>=DAY(AN9)</t>
  </si>
  <si>
    <t>Smith</t>
  </si>
  <si>
    <t>=DATEDIF(AX9,AY9,"Y") &amp; " years and " &amp; DATEDIF(AX9,AY9,"YM") &amp; " months"</t>
  </si>
  <si>
    <t>=DATE(B10,C10,D10)</t>
  </si>
  <si>
    <t>=YEAR(AN10)</t>
  </si>
  <si>
    <t>=MONTH(AN10)</t>
  </si>
  <si>
    <t>=DAY(AN10)</t>
  </si>
  <si>
    <t>Miller</t>
  </si>
  <si>
    <t>=DATEDIF(AX10,AY10,"Y") &amp; " years and " &amp; DATEDIF(AX10,AY10,"YM") &amp; " months"</t>
  </si>
  <si>
    <t>=DATE(B11,C11,D11)</t>
  </si>
  <si>
    <t>=YEAR(AN11)</t>
  </si>
  <si>
    <t>=MONTH(AN11)</t>
  </si>
  <si>
    <t>=DAY(AN11)</t>
  </si>
  <si>
    <t>Brown</t>
  </si>
  <si>
    <t>=DATEDIF(AX11,AY11,"Y") &amp; " years and " &amp; DATEDIF(AX11,AY11,"YM") &amp; " months"</t>
  </si>
  <si>
    <t>=DATE(B12,C12,D12)</t>
  </si>
  <si>
    <t>=YEAR(AN12)</t>
  </si>
  <si>
    <t>=MONTH(AN12)</t>
  </si>
  <si>
    <t>=DAY(AN12)</t>
  </si>
  <si>
    <t>Wall</t>
  </si>
  <si>
    <t>=DATEDIF(AX12,AY12,"Y") &amp; " years and " &amp; DATEDIF(AX12,AY12,"YM") &amp; " months"</t>
  </si>
  <si>
    <t>=DATE(B13,C13,D13)</t>
  </si>
  <si>
    <t>=YEAR(AN13)</t>
  </si>
  <si>
    <t>=MONTH(AN13)</t>
  </si>
  <si>
    <t>=DAY(AN13)</t>
  </si>
  <si>
    <t>Denver</t>
  </si>
  <si>
    <t>=DATEDIF(AX13,AY13,"Y") &amp; " years and " &amp; DATEDIF(AX13,AY13,"YM") &amp; " months"</t>
  </si>
  <si>
    <t>&amp; Function</t>
  </si>
  <si>
    <t>Used to combine or Concatenate any 2 or more cells or any text that you want to add</t>
  </si>
  <si>
    <t>`</t>
  </si>
  <si>
    <t>State</t>
  </si>
  <si>
    <t>Total Sales</t>
  </si>
  <si>
    <t>Uttrakhand</t>
  </si>
  <si>
    <t>Assam</t>
  </si>
  <si>
    <t>Tamil Nadu</t>
  </si>
  <si>
    <t>Rajasthan</t>
  </si>
  <si>
    <t>Hyderabad</t>
  </si>
  <si>
    <t>Maharashtra</t>
  </si>
  <si>
    <t>Uttar Pradesh</t>
  </si>
  <si>
    <t>Vlookup Exercise</t>
  </si>
  <si>
    <t>Ex. 1</t>
  </si>
  <si>
    <t>Ex. 2</t>
  </si>
  <si>
    <t>Character</t>
  </si>
  <si>
    <t>Show</t>
  </si>
  <si>
    <t>Student</t>
  </si>
  <si>
    <t>Grade</t>
  </si>
  <si>
    <t>Letter Grade</t>
  </si>
  <si>
    <t>No. Grade</t>
  </si>
  <si>
    <t>Carlton Lassiter </t>
  </si>
  <si>
    <t>Maddie Hayes </t>
  </si>
  <si>
    <t>Moonlighting</t>
  </si>
  <si>
    <t>Russ Geller</t>
  </si>
  <si>
    <t>Dale Cooper</t>
  </si>
  <si>
    <t>Sam Malone </t>
  </si>
  <si>
    <t>Cheers</t>
  </si>
  <si>
    <t>Sheldon Cooper </t>
  </si>
  <si>
    <t>D-</t>
  </si>
  <si>
    <t>David Addison </t>
  </si>
  <si>
    <t>Dexter Morgan </t>
  </si>
  <si>
    <t>Adrian Monk</t>
  </si>
  <si>
    <t>Monk</t>
  </si>
  <si>
    <t>Red Forman </t>
  </si>
  <si>
    <t>D+</t>
  </si>
  <si>
    <t>Dr. Elliot Reid </t>
  </si>
  <si>
    <t>Jeff Greene </t>
  </si>
  <si>
    <t>Curb Your Enthusiasm</t>
  </si>
  <si>
    <t>Harold T. Stone</t>
  </si>
  <si>
    <t>C-</t>
  </si>
  <si>
    <t>Dr. Gregory House </t>
  </si>
  <si>
    <t>Norm Peterson </t>
  </si>
  <si>
    <t>Shawn Spencer </t>
  </si>
  <si>
    <t>Edmund Blackadder </t>
  </si>
  <si>
    <t>Matt Saracen </t>
  </si>
  <si>
    <t>Friday Night Lights</t>
  </si>
  <si>
    <t>Jim Ignatowski</t>
  </si>
  <si>
    <t>C+</t>
  </si>
  <si>
    <t>Eric Cartman </t>
  </si>
  <si>
    <t>Barney Stinson </t>
  </si>
  <si>
    <t>How I Met Your Mother</t>
  </si>
  <si>
    <t>John Locke </t>
  </si>
  <si>
    <t>B-</t>
  </si>
  <si>
    <t>Fox Mulder </t>
  </si>
  <si>
    <t>Bill McNeal </t>
  </si>
  <si>
    <t>NewsRadio</t>
  </si>
  <si>
    <t>George Costanza </t>
  </si>
  <si>
    <t>Harry Solomon </t>
  </si>
  <si>
    <t>3rd Rock from the Sun</t>
  </si>
  <si>
    <t>B+</t>
  </si>
  <si>
    <t>Gloria Pritchett </t>
  </si>
  <si>
    <t>Kim Bauer </t>
  </si>
  <si>
    <t>Lynette Scavo </t>
  </si>
  <si>
    <t>A-</t>
  </si>
  <si>
    <t>Hank Hill </t>
  </si>
  <si>
    <t>Modern Family</t>
  </si>
  <si>
    <t>Robert Barone </t>
  </si>
  <si>
    <t>Jack Bauer </t>
  </si>
  <si>
    <t>A+</t>
  </si>
  <si>
    <t>Seinfeld</t>
  </si>
  <si>
    <t>Homer Simpson </t>
  </si>
  <si>
    <t>Phil Dunphy </t>
  </si>
  <si>
    <t>Hurley Reyes </t>
  </si>
  <si>
    <t>Desperate Housewives</t>
  </si>
  <si>
    <t>Bob Kelso</t>
  </si>
  <si>
    <t>King of the Hill</t>
  </si>
  <si>
    <t>Jack Malone </t>
  </si>
  <si>
    <t>Veronica Mars </t>
  </si>
  <si>
    <t>Veronica Mars</t>
  </si>
  <si>
    <t>Walter White </t>
  </si>
  <si>
    <t>Breaking Bad</t>
  </si>
  <si>
    <t>Psych</t>
  </si>
  <si>
    <t>Lorelai Gilmore </t>
  </si>
  <si>
    <t>Scrubs</t>
  </si>
  <si>
    <t>Monica Bing </t>
  </si>
  <si>
    <t>Friends</t>
  </si>
  <si>
    <t>Liz Lemon </t>
  </si>
  <si>
    <t>Night Court</t>
  </si>
  <si>
    <t>South Park</t>
  </si>
  <si>
    <t>Mark Green</t>
  </si>
  <si>
    <t>ER</t>
  </si>
  <si>
    <t>That '70s Show</t>
  </si>
  <si>
    <t>Phillip J. Fry </t>
  </si>
  <si>
    <t>Futurama</t>
  </si>
  <si>
    <t>Natalie Teeger </t>
  </si>
  <si>
    <t>Everybody Loves Raymond</t>
  </si>
  <si>
    <t>Carlton Banks </t>
  </si>
  <si>
    <t>Niles Crane </t>
  </si>
  <si>
    <t>Benjamin Linus </t>
  </si>
  <si>
    <t>Lost</t>
  </si>
  <si>
    <t>The X Files</t>
  </si>
  <si>
    <t>Without A Trace</t>
  </si>
  <si>
    <t>Taxi</t>
  </si>
  <si>
    <t>The Simpsons</t>
  </si>
  <si>
    <t>Blackadder</t>
  </si>
  <si>
    <t>The Fresh Prince of Bel-Air</t>
  </si>
  <si>
    <t>Twin Peaks</t>
  </si>
  <si>
    <t>House, M.D.</t>
  </si>
  <si>
    <t>Dexter</t>
  </si>
  <si>
    <t>Gilmore Girls</t>
  </si>
  <si>
    <t>Frasier</t>
  </si>
  <si>
    <t>30 Rock</t>
  </si>
  <si>
    <t>The Big Bang Theory</t>
  </si>
  <si>
    <t>AREA CHARTS</t>
  </si>
  <si>
    <t>Less Items</t>
  </si>
  <si>
    <t>Too Many Items</t>
  </si>
  <si>
    <t>Computers</t>
  </si>
  <si>
    <t>Furniture</t>
  </si>
  <si>
    <t>Office Supplies</t>
  </si>
  <si>
    <t>Electrical Supplies</t>
  </si>
  <si>
    <t>Software</t>
  </si>
  <si>
    <t>Day Planners</t>
  </si>
  <si>
    <t>Health &amp; Safety</t>
  </si>
  <si>
    <t>Productivity Tools</t>
  </si>
  <si>
    <t>BAR CHARTS</t>
  </si>
  <si>
    <t>Jan</t>
  </si>
  <si>
    <t>Feb</t>
  </si>
  <si>
    <t>Mar</t>
  </si>
  <si>
    <t>Apr</t>
  </si>
  <si>
    <t>May</t>
  </si>
  <si>
    <t>US</t>
  </si>
  <si>
    <t>Europe</t>
  </si>
  <si>
    <t>Asia</t>
  </si>
  <si>
    <t>South America</t>
  </si>
  <si>
    <t>Stock 1</t>
  </si>
  <si>
    <t>Stock 2</t>
  </si>
  <si>
    <t>Month 1 - 2016</t>
  </si>
  <si>
    <t>Month 2 - 2016</t>
  </si>
  <si>
    <t>Month 3 - 2016</t>
  </si>
  <si>
    <t>Month 4 - 2016</t>
  </si>
  <si>
    <t>Month 5 - 2016</t>
  </si>
  <si>
    <t>Month 6 - 2016</t>
  </si>
  <si>
    <t>Month 7 - 2016</t>
  </si>
  <si>
    <t>Month 8 - 2016</t>
  </si>
  <si>
    <t>Month 9 - 2016</t>
  </si>
  <si>
    <t>Month 10 - 2016</t>
  </si>
  <si>
    <t>Month 11 - 2016</t>
  </si>
  <si>
    <t>Month 12 - 2016</t>
  </si>
  <si>
    <t>Month 1 - 2017</t>
  </si>
  <si>
    <t>Month 2 - 2017</t>
  </si>
  <si>
    <t>Month 3 - 2017</t>
  </si>
  <si>
    <t>Month 4 - 2017</t>
  </si>
  <si>
    <t>Month 5 - 2017</t>
  </si>
  <si>
    <t>Month 6 - 2017</t>
  </si>
  <si>
    <t>Month 7 - 2017</t>
  </si>
  <si>
    <t>Month 8 - 2017</t>
  </si>
  <si>
    <t>Month 9 - 2017</t>
  </si>
  <si>
    <t>Month 10 - 2017</t>
  </si>
  <si>
    <t>Month 11 - 2017</t>
  </si>
  <si>
    <t>Month 12 - 2017</t>
  </si>
  <si>
    <t>COLUMN CHARTS</t>
  </si>
  <si>
    <t>ABC Company</t>
  </si>
  <si>
    <t>Q1</t>
  </si>
  <si>
    <t>Q2</t>
  </si>
  <si>
    <t>Q3</t>
  </si>
  <si>
    <t>Q4</t>
  </si>
  <si>
    <t>LINE CHARTS</t>
  </si>
  <si>
    <t>Domestic Shipments</t>
  </si>
  <si>
    <t>International Shipments</t>
  </si>
  <si>
    <t>January</t>
  </si>
  <si>
    <t>February</t>
  </si>
  <si>
    <t>March</t>
  </si>
  <si>
    <t>April</t>
  </si>
  <si>
    <t>June</t>
  </si>
  <si>
    <t>July</t>
  </si>
  <si>
    <t>August</t>
  </si>
  <si>
    <t>September</t>
  </si>
  <si>
    <t>October</t>
  </si>
  <si>
    <t>November</t>
  </si>
  <si>
    <t>December</t>
  </si>
  <si>
    <t>2011</t>
  </si>
  <si>
    <t>2012</t>
  </si>
  <si>
    <t>2013</t>
  </si>
  <si>
    <t>2014</t>
  </si>
  <si>
    <t>2015</t>
  </si>
  <si>
    <t>2016</t>
  </si>
  <si>
    <t>2017</t>
  </si>
  <si>
    <t>2018</t>
  </si>
  <si>
    <t>PROGRESS BAR CHARTS</t>
  </si>
  <si>
    <t>Target</t>
  </si>
  <si>
    <t>Remainder</t>
  </si>
  <si>
    <t>Progress</t>
  </si>
  <si>
    <t>Percentage Remaining</t>
  </si>
  <si>
    <t>Americas</t>
  </si>
  <si>
    <t>Africa</t>
  </si>
  <si>
    <t>WATERFALL CHARTS</t>
  </si>
  <si>
    <t>Net Cash Flow</t>
  </si>
  <si>
    <t>Carryover Balance</t>
  </si>
  <si>
    <t>Q1 FY2018</t>
  </si>
  <si>
    <t>Q2 FY2018</t>
  </si>
  <si>
    <t>Q3 FY2018</t>
  </si>
  <si>
    <t>Q4 FY2018</t>
  </si>
  <si>
    <t>Q1 FY2019</t>
  </si>
  <si>
    <t>Q2 FY2019</t>
  </si>
  <si>
    <t>Q3 FY2019</t>
  </si>
  <si>
    <t>Q4 FY2019</t>
  </si>
  <si>
    <t>Q1 FY2020</t>
  </si>
  <si>
    <t>Q2 FY2020</t>
  </si>
  <si>
    <t>Current Balance</t>
  </si>
  <si>
    <t>FUNNEL CHARTS</t>
  </si>
  <si>
    <t>Stage</t>
  </si>
  <si>
    <t>Headcount</t>
  </si>
  <si>
    <t>Career Website Visitors</t>
  </si>
  <si>
    <t>Applications</t>
  </si>
  <si>
    <t>Qualified Resumes</t>
  </si>
  <si>
    <t>Interviews</t>
  </si>
  <si>
    <t>Offers</t>
  </si>
  <si>
    <t>Hires</t>
  </si>
  <si>
    <t>TREE MAPS</t>
  </si>
  <si>
    <t>Particulars</t>
  </si>
  <si>
    <t>No.</t>
  </si>
  <si>
    <t>%age</t>
  </si>
  <si>
    <t>SUM IF &amp; COUNT IF &amp; SUMPRODUCT</t>
  </si>
  <si>
    <t>ID</t>
  </si>
  <si>
    <t>Empl Rcd#</t>
  </si>
  <si>
    <t>TYPE</t>
  </si>
  <si>
    <t>Earn Code</t>
  </si>
  <si>
    <t>DAY</t>
  </si>
  <si>
    <t>Countif</t>
  </si>
  <si>
    <t>Sumif</t>
  </si>
  <si>
    <t>Smith,Jacob</t>
  </si>
  <si>
    <t>SP</t>
  </si>
  <si>
    <t>SIC</t>
  </si>
  <si>
    <t>THURSDAY</t>
  </si>
  <si>
    <t>=COUNTIF($E$3:$E$215,K3)</t>
  </si>
  <si>
    <t>Johnson,Michael</t>
  </si>
  <si>
    <t>SFFNR</t>
  </si>
  <si>
    <t>WEDNESDAY</t>
  </si>
  <si>
    <t>SFAM</t>
  </si>
  <si>
    <t>Jones,Matthew</t>
  </si>
  <si>
    <t>SFNRL</t>
  </si>
  <si>
    <t>SICK</t>
  </si>
  <si>
    <t>=SUMIF($E$3:$E$215,K3,$G$3:$G$215)</t>
  </si>
  <si>
    <t>Brown,Daniel</t>
  </si>
  <si>
    <t>Davis,Christopher</t>
  </si>
  <si>
    <t>Miller,Andrew</t>
  </si>
  <si>
    <t>Wilson,Ethan</t>
  </si>
  <si>
    <t>Moore,Joseph</t>
  </si>
  <si>
    <t>MONDAY</t>
  </si>
  <si>
    <t>=COUNTIF($I$3:$I$215,K12)</t>
  </si>
  <si>
    <t>TUESDAY</t>
  </si>
  <si>
    <t>Taylor,William</t>
  </si>
  <si>
    <t>Anderson,Anthony</t>
  </si>
  <si>
    <t>FRIDAY</t>
  </si>
  <si>
    <t>=SUMIF($I$3:$I$215,K12,$G$3:$G$215)</t>
  </si>
  <si>
    <t>Thomas,David</t>
  </si>
  <si>
    <t>Jackson,Alexander</t>
  </si>
  <si>
    <t>White,Nicholas</t>
  </si>
  <si>
    <t>COUNTIFS / SUMPRODUCT</t>
  </si>
  <si>
    <t>Harris,Ryan</t>
  </si>
  <si>
    <t>Martin,Tyler</t>
  </si>
  <si>
    <t>Occurrences</t>
  </si>
  <si>
    <t>Thompson,James</t>
  </si>
  <si>
    <t>Total</t>
  </si>
  <si>
    <t>Garcia,John</t>
  </si>
  <si>
    <t>=COUNTIFS($E$3:$E$215,$K23,$I$3:$I$215,L$22)</t>
  </si>
  <si>
    <t>Martinez,Jonathan</t>
  </si>
  <si>
    <t>Robinson,Noah</t>
  </si>
  <si>
    <t>Clark,Brandon</t>
  </si>
  <si>
    <t>=SUMPRODUCT(($E$3:$E$215=$K36)*($I$3:$I$215='Sample 9'!L$35))</t>
  </si>
  <si>
    <t>Rodriguez,Christian</t>
  </si>
  <si>
    <t>Lewis,Dylan</t>
  </si>
  <si>
    <t>Lee,Samuel</t>
  </si>
  <si>
    <t>SUMIFS / SUMPRODUCT</t>
  </si>
  <si>
    <t>Walker,Benjamin</t>
  </si>
  <si>
    <t>Hall,Zachary</t>
  </si>
  <si>
    <t>Hours</t>
  </si>
  <si>
    <t>Allen,Nathan</t>
  </si>
  <si>
    <t>=SUMIFS($G$3:$G$215,$E$3:$E$215,$K36,$I$3:$I$215,L$35)</t>
  </si>
  <si>
    <t>Young,Logan</t>
  </si>
  <si>
    <t>Hernandez,Justin</t>
  </si>
  <si>
    <t>King,Gabriel</t>
  </si>
  <si>
    <t>Wright,Jose</t>
  </si>
  <si>
    <t>=SUMPRODUCT(($E$3:$E$215=$K36)*($I$3:$I$215=L$35)*($G$3:$G$215))</t>
  </si>
  <si>
    <t>Lopez,Austin</t>
  </si>
  <si>
    <t>Hill,Kevin</t>
  </si>
  <si>
    <t>Scott,Elijah</t>
  </si>
  <si>
    <t>Green,Caleb</t>
  </si>
  <si>
    <t>Adams,Robert</t>
  </si>
  <si>
    <t>Baker,Thomas</t>
  </si>
  <si>
    <t>Gonzalez,Jordan</t>
  </si>
  <si>
    <t>Nelson,Cameron</t>
  </si>
  <si>
    <t>Carter,Jack</t>
  </si>
  <si>
    <t>Mitchell,Hunter</t>
  </si>
  <si>
    <t>Perez,Jackson</t>
  </si>
  <si>
    <t>Roberts,Angel</t>
  </si>
  <si>
    <t>Turner,Isaiah</t>
  </si>
  <si>
    <t>Phillips,Evan</t>
  </si>
  <si>
    <t>Campbell,Isaac</t>
  </si>
  <si>
    <t>Parker,Mason</t>
  </si>
  <si>
    <t>Evans,Luke</t>
  </si>
  <si>
    <t>Edwards,Jason</t>
  </si>
  <si>
    <t>Collins,Gavin</t>
  </si>
  <si>
    <t>Stewart,Jayden</t>
  </si>
  <si>
    <t>Sanchez,Aaron</t>
  </si>
  <si>
    <t>Morris,Connor</t>
  </si>
  <si>
    <t>Rogers,Aiden</t>
  </si>
  <si>
    <t>Reed,Aidan</t>
  </si>
  <si>
    <t>Cook,Kyle</t>
  </si>
  <si>
    <t>Morgan,Juan</t>
  </si>
  <si>
    <t>Bell,Charles</t>
  </si>
  <si>
    <t>Murphy,Luis</t>
  </si>
  <si>
    <t>Bailey,Adam</t>
  </si>
  <si>
    <t>Rivera,Lucas</t>
  </si>
  <si>
    <t>Cooper,Brian</t>
  </si>
  <si>
    <t>Richardson,Eric</t>
  </si>
  <si>
    <t>Cox,Adrian</t>
  </si>
  <si>
    <t>Howard,Nathaniel</t>
  </si>
  <si>
    <t>Ward,Sean</t>
  </si>
  <si>
    <t>Torres,Alex</t>
  </si>
  <si>
    <t>Peterson,Carlos</t>
  </si>
  <si>
    <t>Gray,Bryan</t>
  </si>
  <si>
    <t>Ramirez,Ian</t>
  </si>
  <si>
    <t>James,Owen</t>
  </si>
  <si>
    <t>Watson,Jesus</t>
  </si>
  <si>
    <t>Brooks,Landon</t>
  </si>
  <si>
    <t>Kelly,Julian</t>
  </si>
  <si>
    <t>Sanders,Chase</t>
  </si>
  <si>
    <t>Price,Cole</t>
  </si>
  <si>
    <t>Bennett,Diego</t>
  </si>
  <si>
    <t>Wood,Jeremiah</t>
  </si>
  <si>
    <t>Barnes,Steven</t>
  </si>
  <si>
    <t>Ross,Sebastian</t>
  </si>
  <si>
    <t>Henderson,Xavier</t>
  </si>
  <si>
    <t>Coleman,Timothy</t>
  </si>
  <si>
    <t>Jenkins,Carter</t>
  </si>
  <si>
    <t>Perry,Wyatt</t>
  </si>
  <si>
    <t>Powell,Brayden</t>
  </si>
  <si>
    <t>Long,Blake</t>
  </si>
  <si>
    <t>Patterson,Hayden</t>
  </si>
  <si>
    <t>Hughes,Devin</t>
  </si>
  <si>
    <t>Flores,Cody</t>
  </si>
  <si>
    <t>Washington,Richard</t>
  </si>
  <si>
    <t>Butler,Seth</t>
  </si>
  <si>
    <t>Simmons,Dominic</t>
  </si>
  <si>
    <t>Foster,Jaden</t>
  </si>
  <si>
    <t>Gonzales,Antonio</t>
  </si>
  <si>
    <t>Bryant,Miguel</t>
  </si>
  <si>
    <t>Alexander,Liam</t>
  </si>
  <si>
    <t>Russell,Patrick</t>
  </si>
  <si>
    <t>Griffin,Carson</t>
  </si>
  <si>
    <t>Diaz,Jesse</t>
  </si>
  <si>
    <t>Hayes,Tristan</t>
  </si>
  <si>
    <t>Myers,Alejandro</t>
  </si>
  <si>
    <t>Ford,Henry</t>
  </si>
  <si>
    <t>Hamilton,Victor</t>
  </si>
  <si>
    <t>Graham,Trevor</t>
  </si>
  <si>
    <t>Sullivan,Bryce</t>
  </si>
  <si>
    <t>Wallace,Jake</t>
  </si>
  <si>
    <t>Woods,Riley</t>
  </si>
  <si>
    <t>Cole,Colin</t>
  </si>
  <si>
    <t>West,Jared</t>
  </si>
  <si>
    <t>Jordan,Jeremy</t>
  </si>
  <si>
    <t>Owens,Mark</t>
  </si>
  <si>
    <t>Reynolds,Caden</t>
  </si>
  <si>
    <t>Fisher,Garrett</t>
  </si>
  <si>
    <t>Ellis,Parker</t>
  </si>
  <si>
    <t>Harrison,Marcus</t>
  </si>
  <si>
    <t>Gibson,Vincent</t>
  </si>
  <si>
    <t>Mcdonald,Kaleb</t>
  </si>
  <si>
    <t>Cruz,Kaden</t>
  </si>
  <si>
    <t>Marshall,Brady</t>
  </si>
  <si>
    <t>Ortiz,Colton</t>
  </si>
  <si>
    <t>Rate of Interest</t>
  </si>
  <si>
    <t>EMI per month</t>
  </si>
  <si>
    <t>Eg - 1</t>
  </si>
  <si>
    <t>Which Category has the higest Sales?</t>
  </si>
  <si>
    <t>Eg - 2</t>
  </si>
  <si>
    <t>Which Quarter has registered the lowest sales?</t>
  </si>
  <si>
    <t>Eg - 3</t>
  </si>
  <si>
    <t>Which product has the highest sales?</t>
  </si>
  <si>
    <t>Eg - 4</t>
  </si>
  <si>
    <t>Show the percentage wise breakup of Catergory and Quarter.</t>
  </si>
  <si>
    <t>Eg - 5</t>
  </si>
  <si>
    <t>Present the Overall percentage breakup of Quarter wise &amp; Category wise sales in Pie chart.</t>
  </si>
  <si>
    <t xml:space="preserve"> Range Names</t>
  </si>
  <si>
    <t xml:space="preserve">Cell References </t>
  </si>
  <si>
    <t>Basic</t>
  </si>
  <si>
    <t>Gross Salary</t>
  </si>
  <si>
    <t>Total no. of month to pay</t>
  </si>
  <si>
    <t>Quantity ( in Hrs)</t>
  </si>
  <si>
    <t>Rpt Date</t>
  </si>
  <si>
    <t>RELATIVE CELL REFERENCE</t>
  </si>
  <si>
    <t>Incentive @ 10%</t>
  </si>
  <si>
    <t>ABSOLUTE CELL REFERENCE</t>
  </si>
  <si>
    <t>Incentive</t>
  </si>
  <si>
    <t>MIXED CELL REFERENCE</t>
  </si>
  <si>
    <t>Incentive 1</t>
  </si>
  <si>
    <t>Incentive 2</t>
  </si>
  <si>
    <t>Incentive 3</t>
  </si>
  <si>
    <t>Incentive 4</t>
  </si>
  <si>
    <t>Incentive 5</t>
  </si>
  <si>
    <t>IF Func</t>
  </si>
  <si>
    <t>IF with NOT &amp; with AND</t>
  </si>
  <si>
    <t>Emp. ID</t>
  </si>
  <si>
    <t>Metro / Non Metro</t>
  </si>
  <si>
    <t>HRA_1</t>
  </si>
  <si>
    <t>DA_1</t>
  </si>
  <si>
    <t>TAX</t>
  </si>
  <si>
    <t>INCENTIVE</t>
  </si>
  <si>
    <t>HRA_2</t>
  </si>
  <si>
    <t>INCENTIVE_1</t>
  </si>
  <si>
    <t>INCENTIVE_2</t>
  </si>
  <si>
    <t>G-101</t>
  </si>
  <si>
    <t>Non Metro</t>
  </si>
  <si>
    <t>G-102</t>
  </si>
  <si>
    <t>G-103</t>
  </si>
  <si>
    <t>Metro</t>
  </si>
  <si>
    <t>G-104</t>
  </si>
  <si>
    <t>G-105</t>
  </si>
  <si>
    <t>G-106</t>
  </si>
  <si>
    <t>G-107</t>
  </si>
  <si>
    <t>G-108</t>
  </si>
  <si>
    <t>G-109</t>
  </si>
  <si>
    <t>G-110</t>
  </si>
  <si>
    <t>G-111</t>
  </si>
  <si>
    <t>G-112</t>
  </si>
  <si>
    <t>Grand Total</t>
  </si>
  <si>
    <t>Eg.1</t>
  </si>
  <si>
    <t>IF Function</t>
  </si>
  <si>
    <t>Calculate HRA_1 - based on State that an employee belongs to, if employee is from Metro City then HRA is 50% of Basic salary otherwise 40% of Basic</t>
  </si>
  <si>
    <t>Calculate DA_1 - based on Designation of the employee, if employee is a Manager then DA will be 25% of Basic otherwise 10%</t>
  </si>
  <si>
    <t>Eg.2</t>
  </si>
  <si>
    <t>Calculate Tax - if the Gross Salary &lt;=25,000 then tax is 5%, if salary is from 25,001-45,000 then Tax will be 10%, if salary is from 45,001-60,000 then Tax will be 20%, if salary is from 60,001-80,000 then Tax will be 30%, otherwise 40%</t>
  </si>
  <si>
    <t>&lt;=25000</t>
  </si>
  <si>
    <t>25001-45000</t>
  </si>
  <si>
    <t>45001-60000</t>
  </si>
  <si>
    <t>60001-80000</t>
  </si>
  <si>
    <t>&gt;80000</t>
  </si>
  <si>
    <t>Eg.3</t>
  </si>
  <si>
    <t>Calculate Incentive - If we need to give 10% of basic salary as incentive to every one working in “Sales” department and “Delhi” State.</t>
  </si>
  <si>
    <t>Eg.4</t>
  </si>
  <si>
    <t>Calculate HRA_2 - If the employee is in Sales, Marketing or Hrd, then hra is 50% of Basic salary otherwise, it is 30% of Basic salary</t>
  </si>
  <si>
    <t>Eg.5</t>
  </si>
  <si>
    <t>Calculate Incentive_1 -  If we need to give an 10 % incentive to everyone except people working in the “Marketing” department</t>
  </si>
  <si>
    <t>Eg. 6</t>
  </si>
  <si>
    <t>IF with NOT with AND</t>
  </si>
  <si>
    <t>Calculate Incentive_2 , If you need to give an 10% incentive to everyone except people from the Sales and Admin department</t>
  </si>
  <si>
    <t>Eg. 7</t>
  </si>
  <si>
    <t>Suppose you want to assign letter grades to numbers referenced by the name Average Score. See the following table Below</t>
  </si>
  <si>
    <t>0 - 59</t>
  </si>
  <si>
    <t>60 - 69</t>
  </si>
  <si>
    <t>70 - 79</t>
  </si>
  <si>
    <t>80 - 89</t>
  </si>
  <si>
    <t>Above 89</t>
  </si>
  <si>
    <t xml:space="preserve">ctrl+F3 -- to add name </t>
  </si>
  <si>
    <t xml:space="preserve">grand total </t>
  </si>
  <si>
    <t>avg</t>
  </si>
  <si>
    <t>max</t>
  </si>
  <si>
    <t>min</t>
  </si>
  <si>
    <t>countA</t>
  </si>
  <si>
    <t xml:space="preserve">   </t>
  </si>
  <si>
    <t>ctrl +shift+ enter</t>
  </si>
  <si>
    <t>amount</t>
  </si>
  <si>
    <t>date fixed</t>
  </si>
  <si>
    <t>jan</t>
  </si>
  <si>
    <t xml:space="preserve">datedif --- to get date differenec </t>
  </si>
  <si>
    <t>(=date 1, date2,"y")</t>
  </si>
  <si>
    <t>year</t>
  </si>
  <si>
    <t>(=date 1, date2,"m")</t>
  </si>
  <si>
    <t>month</t>
  </si>
  <si>
    <t>(=date 1, date2,"ym")</t>
  </si>
  <si>
    <t>year and month old</t>
  </si>
  <si>
    <t>days</t>
  </si>
  <si>
    <t>total</t>
  </si>
  <si>
    <t>0- exact value false</t>
  </si>
  <si>
    <t>1- true approx value</t>
  </si>
  <si>
    <t>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</si>
</sst>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 #,##0;[Red]&quot;₹&quot;\ \-#,##0"/>
    <numFmt numFmtId="43" formatCode="_ * #,##0.00_ ;_ * \-#,##0.00_ ;_ * &quot;-&quot;??_ ;_ @_ "/>
    <numFmt numFmtId="164" formatCode="_ * #,##0_ ;_ * \-#,##0_ ;_ * &quot;-&quot;??_ ;_ @_ "/>
    <numFmt numFmtId="165" formatCode="&quot;₹&quot;\ #,##0"/>
    <numFmt numFmtId="166" formatCode="[$-409]dd/mmm/yy;@"/>
    <numFmt numFmtId="167" formatCode="[$-F800]dddd\,\ mmmm\ dd\,\ yyyy"/>
    <numFmt numFmtId="168" formatCode="_ * #,##0.0_ ;_ * \-#,##0.0_ ;_ * &quot;-&quot;??_ ;_ @_ "/>
    <numFmt numFmtId="169" formatCode="_(* #,##0.00_);_(* \(#,##0.00\);_(* &quot;-&quot;??_);_(@_)"/>
    <numFmt numFmtId="170" formatCode="_(* #,##0_);_(* \(#,##0\);_(* &quot;-&quot;??_);_(@_)"/>
    <numFmt numFmtId="171" formatCode="_ * #,##0.0_ ;_ * \-#,##0.0_ ;_ * &quot;-&quot;?_ ;_ @_ "/>
  </numFmts>
  <fonts count="30">
    <font>
      <sz val="11"/>
      <color theme="1"/>
      <name val="Calibri"/>
      <family val="2"/>
      <scheme val="minor"/>
    </font>
    <font>
      <sz val="11"/>
      <color theme="1"/>
      <name val="Calibri"/>
      <family val="2"/>
      <scheme val="minor"/>
    </font>
    <font>
      <b/>
      <sz val="12"/>
      <color rgb="FF000000"/>
      <name val="Times New Roman"/>
      <family val="1"/>
    </font>
    <font>
      <b/>
      <sz val="12"/>
      <color rgb="FF333333"/>
      <name val="Times New Roman"/>
      <family val="1"/>
    </font>
    <font>
      <sz val="12"/>
      <color rgb="FF333333"/>
      <name val="Times New Roman"/>
      <family val="1"/>
    </font>
    <font>
      <b/>
      <sz val="16"/>
      <color theme="1"/>
      <name val="Calibri"/>
      <family val="2"/>
      <scheme val="minor"/>
    </font>
    <font>
      <sz val="12"/>
      <color theme="1"/>
      <name val="Times New Roman"/>
      <family val="1"/>
    </font>
    <font>
      <b/>
      <sz val="12"/>
      <color theme="1"/>
      <name val="Times New Roman"/>
      <family val="1"/>
    </font>
    <font>
      <sz val="11"/>
      <color rgb="FFFF0000"/>
      <name val="Calibri"/>
      <family val="2"/>
      <scheme val="minor"/>
    </font>
    <font>
      <b/>
      <sz val="11"/>
      <color theme="1"/>
      <name val="Calibri"/>
      <family val="2"/>
      <scheme val="minor"/>
    </font>
    <font>
      <b/>
      <sz val="8"/>
      <color theme="1"/>
      <name val="Calibri"/>
      <family val="2"/>
      <scheme val="minor"/>
    </font>
    <font>
      <sz val="11"/>
      <name val="Calibri"/>
      <family val="2"/>
      <scheme val="minor"/>
    </font>
    <font>
      <b/>
      <sz val="11"/>
      <color rgb="FFFF0000"/>
      <name val="Calibri"/>
      <family val="2"/>
      <scheme val="minor"/>
    </font>
    <font>
      <b/>
      <sz val="10"/>
      <name val="Arial"/>
      <family val="2"/>
    </font>
    <font>
      <sz val="10"/>
      <name val="Arial"/>
      <family val="2"/>
    </font>
    <font>
      <b/>
      <sz val="18"/>
      <color theme="1"/>
      <name val="Calibri"/>
      <family val="2"/>
      <scheme val="minor"/>
    </font>
    <font>
      <b/>
      <sz val="12"/>
      <color theme="1"/>
      <name val="Calibri"/>
      <family val="2"/>
      <scheme val="minor"/>
    </font>
    <font>
      <b/>
      <sz val="11"/>
      <name val="Calibri"/>
      <family val="2"/>
      <scheme val="minor"/>
    </font>
    <font>
      <b/>
      <sz val="10"/>
      <name val="Arial Unicode MS"/>
      <family val="2"/>
    </font>
    <font>
      <sz val="12"/>
      <color theme="1"/>
      <name val="Calibri"/>
      <family val="2"/>
      <scheme val="minor"/>
    </font>
    <font>
      <sz val="11"/>
      <color rgb="FF0070C0"/>
      <name val="Calibri"/>
      <family val="2"/>
      <scheme val="minor"/>
    </font>
    <font>
      <b/>
      <sz val="20"/>
      <color rgb="FF0070C0"/>
      <name val="Calibri"/>
      <family val="2"/>
      <scheme val="minor"/>
    </font>
    <font>
      <b/>
      <sz val="12"/>
      <color rgb="FF333333"/>
      <name val="Calibri"/>
      <family val="2"/>
      <scheme val="minor"/>
    </font>
    <font>
      <b/>
      <sz val="12"/>
      <name val="Calibri"/>
      <family val="2"/>
      <scheme val="minor"/>
    </font>
    <font>
      <sz val="12"/>
      <name val="Calibri"/>
      <family val="2"/>
      <scheme val="minor"/>
    </font>
    <font>
      <sz val="10"/>
      <name val="Calibri"/>
      <family val="2"/>
      <scheme val="minor"/>
    </font>
    <font>
      <b/>
      <sz val="8"/>
      <name val="Times New Roman"/>
      <family val="1"/>
    </font>
    <font>
      <sz val="10"/>
      <color theme="1"/>
      <name val="Calibri"/>
      <family val="2"/>
      <scheme val="minor"/>
    </font>
    <font>
      <sz val="11"/>
      <name val="Times New Roman"/>
      <family val="1"/>
    </font>
    <font>
      <sz val="8"/>
      <name val="Calibri"/>
      <family val="2"/>
      <scheme val="minor"/>
    </font>
  </fonts>
  <fills count="10">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rgb="FF00B050"/>
        <bgColor indexed="64"/>
      </patternFill>
    </fill>
    <fill>
      <patternFill patternType="solid">
        <fgColor theme="0"/>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double">
        <color indexed="64"/>
      </right>
      <top style="medium">
        <color indexed="64"/>
      </top>
      <bottom style="medium">
        <color indexed="64"/>
      </bottom>
      <diagonal/>
    </border>
    <border>
      <left style="double">
        <color indexed="64"/>
      </left>
      <right style="double">
        <color indexed="64"/>
      </right>
      <top style="medium">
        <color indexed="64"/>
      </top>
      <bottom style="medium">
        <color indexed="64"/>
      </bottom>
      <diagonal/>
    </border>
    <border>
      <left style="double">
        <color indexed="64"/>
      </left>
      <right style="medium">
        <color indexed="64"/>
      </right>
      <top style="medium">
        <color indexed="64"/>
      </top>
      <bottom style="medium">
        <color indexed="64"/>
      </bottom>
      <diagonal/>
    </border>
    <border>
      <left style="medium">
        <color indexed="64"/>
      </left>
      <right style="double">
        <color indexed="64"/>
      </right>
      <top style="medium">
        <color indexed="64"/>
      </top>
      <bottom style="double">
        <color indexed="64"/>
      </bottom>
      <diagonal/>
    </border>
    <border>
      <left style="double">
        <color indexed="64"/>
      </left>
      <right style="double">
        <color indexed="64"/>
      </right>
      <top style="medium">
        <color indexed="64"/>
      </top>
      <bottom style="double">
        <color indexed="64"/>
      </bottom>
      <diagonal/>
    </border>
    <border>
      <left style="double">
        <color indexed="64"/>
      </left>
      <right style="medium">
        <color indexed="64"/>
      </right>
      <top style="medium">
        <color indexed="64"/>
      </top>
      <bottom style="double">
        <color indexed="64"/>
      </bottom>
      <diagonal/>
    </border>
    <border>
      <left style="medium">
        <color indexed="64"/>
      </left>
      <right style="double">
        <color indexed="64"/>
      </right>
      <top style="double">
        <color indexed="64"/>
      </top>
      <bottom style="double">
        <color indexed="64"/>
      </bottom>
      <diagonal/>
    </border>
    <border>
      <left style="medium">
        <color indexed="64"/>
      </left>
      <right style="double">
        <color indexed="64"/>
      </right>
      <top style="double">
        <color indexed="64"/>
      </top>
      <bottom style="medium">
        <color indexed="64"/>
      </bottom>
      <diagonal/>
    </border>
    <border>
      <left style="double">
        <color indexed="64"/>
      </left>
      <right style="double">
        <color indexed="64"/>
      </right>
      <top style="double">
        <color indexed="64"/>
      </top>
      <bottom/>
      <diagonal/>
    </border>
    <border>
      <left style="double">
        <color indexed="64"/>
      </left>
      <right/>
      <top style="medium">
        <color indexed="64"/>
      </top>
      <bottom style="double">
        <color indexed="64"/>
      </bottom>
      <diagonal/>
    </border>
    <border>
      <left style="medium">
        <color indexed="64"/>
      </left>
      <right style="medium">
        <color indexed="64"/>
      </right>
      <top style="medium">
        <color indexed="64"/>
      </top>
      <bottom/>
      <diagonal/>
    </border>
    <border>
      <left style="medium">
        <color indexed="64"/>
      </left>
      <right style="double">
        <color indexed="64"/>
      </right>
      <top style="double">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14" fillId="0" borderId="0"/>
    <xf numFmtId="169" fontId="14" fillId="0" borderId="0" applyFont="0" applyFill="0" applyBorder="0" applyAlignment="0" applyProtection="0"/>
  </cellStyleXfs>
  <cellXfs count="340">
    <xf numFmtId="0" fontId="0" fillId="0" borderId="0" xfId="0"/>
    <xf numFmtId="0" fontId="2" fillId="0" borderId="0" xfId="0" applyFont="1" applyAlignment="1">
      <alignment horizontal="justify" vertical="center"/>
    </xf>
    <xf numFmtId="0" fontId="3" fillId="0" borderId="0" xfId="0" applyFont="1" applyAlignment="1">
      <alignment horizontal="justify" vertical="center"/>
    </xf>
    <xf numFmtId="0" fontId="4" fillId="0" borderId="0" xfId="0" applyFont="1" applyAlignment="1">
      <alignment horizontal="justify" vertical="center"/>
    </xf>
    <xf numFmtId="0" fontId="3" fillId="0" borderId="0" xfId="0" applyFont="1" applyAlignment="1">
      <alignment horizontal="left" vertical="center" wrapText="1"/>
    </xf>
    <xf numFmtId="0" fontId="4" fillId="0" borderId="0" xfId="0" applyFont="1"/>
    <xf numFmtId="0" fontId="6" fillId="0" borderId="1" xfId="0" applyFont="1" applyBorder="1" applyAlignment="1">
      <alignment horizontal="justify" vertical="center" wrapText="1"/>
    </xf>
    <xf numFmtId="0" fontId="6" fillId="0" borderId="1" xfId="0" applyFont="1" applyBorder="1" applyAlignment="1">
      <alignment horizontal="justify" vertical="center"/>
    </xf>
    <xf numFmtId="0" fontId="7" fillId="2" borderId="1" xfId="0" applyFont="1" applyFill="1" applyBorder="1" applyAlignment="1">
      <alignment horizontal="center" vertical="center"/>
    </xf>
    <xf numFmtId="164" fontId="6" fillId="0" borderId="1" xfId="1" applyNumberFormat="1" applyFont="1" applyBorder="1" applyAlignment="1">
      <alignment horizontal="justify" vertical="center"/>
    </xf>
    <xf numFmtId="0" fontId="6" fillId="0" borderId="0" xfId="0" applyFont="1" applyAlignment="1">
      <alignment horizontal="justify" vertical="center"/>
    </xf>
    <xf numFmtId="0" fontId="4" fillId="0" borderId="0" xfId="0" applyFont="1" applyAlignment="1">
      <alignment wrapText="1"/>
    </xf>
    <xf numFmtId="0" fontId="4" fillId="0" borderId="0" xfId="0" quotePrefix="1" applyFont="1" applyAlignment="1">
      <alignment horizontal="justify" vertical="center"/>
    </xf>
    <xf numFmtId="0" fontId="7" fillId="2" borderId="1" xfId="0" applyFont="1" applyFill="1" applyBorder="1" applyAlignment="1">
      <alignment horizontal="center" vertical="center" wrapText="1"/>
    </xf>
    <xf numFmtId="0" fontId="0" fillId="0" borderId="0" xfId="0" applyAlignment="1">
      <alignment wrapText="1"/>
    </xf>
    <xf numFmtId="0" fontId="2" fillId="0" borderId="0" xfId="0" quotePrefix="1" applyFont="1" applyAlignment="1">
      <alignment horizontal="justify" vertical="center"/>
    </xf>
    <xf numFmtId="0" fontId="0" fillId="0" borderId="1" xfId="0" applyBorder="1"/>
    <xf numFmtId="0" fontId="2" fillId="3" borderId="0" xfId="0" applyFont="1" applyFill="1" applyAlignment="1">
      <alignment horizontal="justify" vertical="center"/>
    </xf>
    <xf numFmtId="0" fontId="5" fillId="4" borderId="0" xfId="0" applyFont="1" applyFill="1" applyAlignment="1">
      <alignment horizontal="center"/>
    </xf>
    <xf numFmtId="0" fontId="3" fillId="3" borderId="0" xfId="0" applyFont="1" applyFill="1" applyAlignment="1">
      <alignment horizontal="justify" vertical="center"/>
    </xf>
    <xf numFmtId="0" fontId="3" fillId="0" borderId="0" xfId="0" applyFont="1" applyAlignment="1">
      <alignment horizontal="left" vertical="center"/>
    </xf>
    <xf numFmtId="0" fontId="10" fillId="5" borderId="1" xfId="0" applyFont="1" applyFill="1" applyBorder="1" applyAlignment="1">
      <alignment horizontal="center" vertical="center"/>
    </xf>
    <xf numFmtId="164" fontId="0" fillId="0" borderId="1" xfId="1" applyNumberFormat="1" applyFont="1" applyBorder="1"/>
    <xf numFmtId="0" fontId="8" fillId="0" borderId="1" xfId="0" applyFont="1" applyBorder="1"/>
    <xf numFmtId="0" fontId="10" fillId="5" borderId="1" xfId="0" applyFont="1" applyFill="1" applyBorder="1" applyAlignment="1">
      <alignment horizontal="left" vertical="center"/>
    </xf>
    <xf numFmtId="0" fontId="0" fillId="0" borderId="6" xfId="0" applyBorder="1" applyAlignment="1">
      <alignment horizontal="center"/>
    </xf>
    <xf numFmtId="14" fontId="0" fillId="0" borderId="1" xfId="0" applyNumberFormat="1" applyBorder="1"/>
    <xf numFmtId="0" fontId="9" fillId="0" borderId="9" xfId="0" applyFont="1" applyBorder="1"/>
    <xf numFmtId="0" fontId="9" fillId="0" borderId="10" xfId="0" applyFont="1" applyBorder="1"/>
    <xf numFmtId="0" fontId="9" fillId="0" borderId="11" xfId="0" applyFont="1"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0" xfId="0" applyAlignment="1">
      <alignment horizontal="center"/>
    </xf>
    <xf numFmtId="0" fontId="6" fillId="0" borderId="0" xfId="0" applyFont="1" applyAlignment="1">
      <alignment horizontal="justify" vertical="center" wrapText="1"/>
    </xf>
    <xf numFmtId="0" fontId="7" fillId="0" borderId="0" xfId="0" applyFont="1" applyAlignment="1">
      <alignment horizontal="justify" vertical="center" wrapText="1"/>
    </xf>
    <xf numFmtId="0" fontId="9" fillId="0" borderId="0" xfId="0" applyFont="1"/>
    <xf numFmtId="0" fontId="0" fillId="6" borderId="1" xfId="0" applyFill="1" applyBorder="1"/>
    <xf numFmtId="0" fontId="0" fillId="6" borderId="7" xfId="0" applyFill="1" applyBorder="1"/>
    <xf numFmtId="0" fontId="0" fillId="6" borderId="7" xfId="0" applyFill="1" applyBorder="1" applyAlignment="1">
      <alignment horizontal="right"/>
    </xf>
    <xf numFmtId="0" fontId="9" fillId="3" borderId="2" xfId="0" applyFont="1" applyFill="1" applyBorder="1" applyAlignment="1">
      <alignment horizontal="center" vertical="top" wrapText="1"/>
    </xf>
    <xf numFmtId="0" fontId="9" fillId="3" borderId="3" xfId="0" applyFont="1" applyFill="1" applyBorder="1" applyAlignment="1">
      <alignment horizontal="center" vertical="top" wrapText="1"/>
    </xf>
    <xf numFmtId="0" fontId="9" fillId="3" borderId="4" xfId="0" applyFont="1" applyFill="1" applyBorder="1" applyAlignment="1">
      <alignment horizontal="center" vertical="top" wrapText="1"/>
    </xf>
    <xf numFmtId="0" fontId="11" fillId="0" borderId="1" xfId="0" applyFont="1" applyBorder="1"/>
    <xf numFmtId="0" fontId="7" fillId="7" borderId="1" xfId="0" applyFont="1" applyFill="1" applyBorder="1" applyAlignment="1">
      <alignment horizontal="center" vertical="center" wrapText="1"/>
    </xf>
    <xf numFmtId="0" fontId="7" fillId="3" borderId="0" xfId="0" applyFont="1" applyFill="1" applyAlignment="1">
      <alignment horizontal="justify" vertical="center" wrapText="1"/>
    </xf>
    <xf numFmtId="0" fontId="2" fillId="2" borderId="0" xfId="0" applyFont="1" applyFill="1" applyAlignment="1">
      <alignment horizontal="justify" vertical="center"/>
    </xf>
    <xf numFmtId="164" fontId="0" fillId="0" borderId="0" xfId="1" applyNumberFormat="1" applyFont="1"/>
    <xf numFmtId="0" fontId="6" fillId="2" borderId="1" xfId="0" applyFont="1" applyFill="1" applyBorder="1" applyAlignment="1">
      <alignment horizontal="justify" vertical="center"/>
    </xf>
    <xf numFmtId="0" fontId="3" fillId="0" borderId="1" xfId="0" applyFont="1" applyBorder="1" applyAlignment="1">
      <alignment horizontal="justify" vertical="center"/>
    </xf>
    <xf numFmtId="0" fontId="4" fillId="0" borderId="1" xfId="0" applyFont="1" applyBorder="1" applyAlignment="1">
      <alignment horizontal="justify" vertical="center"/>
    </xf>
    <xf numFmtId="0" fontId="4" fillId="0" borderId="1" xfId="0" applyFont="1" applyBorder="1"/>
    <xf numFmtId="0" fontId="3" fillId="2" borderId="1" xfId="0" applyFont="1" applyFill="1" applyBorder="1" applyAlignment="1">
      <alignment horizontal="center" vertical="center"/>
    </xf>
    <xf numFmtId="0" fontId="0" fillId="8" borderId="0" xfId="0" applyFill="1"/>
    <xf numFmtId="0" fontId="9" fillId="0" borderId="1" xfId="0" applyFont="1" applyBorder="1" applyAlignment="1">
      <alignment horizontal="center"/>
    </xf>
    <xf numFmtId="0" fontId="9" fillId="3" borderId="1" xfId="0" applyFont="1" applyFill="1" applyBorder="1"/>
    <xf numFmtId="0" fontId="9" fillId="8" borderId="0" xfId="0" applyFont="1" applyFill="1"/>
    <xf numFmtId="164" fontId="9" fillId="3" borderId="1" xfId="1" applyNumberFormat="1" applyFont="1" applyFill="1" applyBorder="1"/>
    <xf numFmtId="1" fontId="9" fillId="3" borderId="1" xfId="0" applyNumberFormat="1" applyFont="1" applyFill="1" applyBorder="1"/>
    <xf numFmtId="0" fontId="0" fillId="0" borderId="25" xfId="0" applyBorder="1"/>
    <xf numFmtId="0" fontId="0" fillId="0" borderId="26" xfId="0" applyBorder="1"/>
    <xf numFmtId="0" fontId="9" fillId="0" borderId="24" xfId="0" applyFont="1" applyBorder="1"/>
    <xf numFmtId="0" fontId="9" fillId="3" borderId="1" xfId="0" applyFont="1" applyFill="1" applyBorder="1" applyAlignment="1">
      <alignment horizontal="center"/>
    </xf>
    <xf numFmtId="0" fontId="0" fillId="9" borderId="0" xfId="0" applyFill="1"/>
    <xf numFmtId="0" fontId="9" fillId="9" borderId="0" xfId="0" applyFont="1" applyFill="1" applyAlignment="1">
      <alignment horizontal="center"/>
    </xf>
    <xf numFmtId="0" fontId="0" fillId="9" borderId="0" xfId="0" applyFill="1" applyAlignment="1">
      <alignment wrapText="1"/>
    </xf>
    <xf numFmtId="14" fontId="13" fillId="9" borderId="27" xfId="0" applyNumberFormat="1" applyFont="1" applyFill="1" applyBorder="1" applyAlignment="1">
      <alignment horizontal="center" wrapText="1"/>
    </xf>
    <xf numFmtId="0" fontId="13" fillId="9" borderId="28" xfId="0" applyFont="1" applyFill="1" applyBorder="1" applyAlignment="1">
      <alignment horizontal="center" wrapText="1"/>
    </xf>
    <xf numFmtId="0" fontId="13" fillId="9" borderId="29" xfId="0" applyFont="1" applyFill="1" applyBorder="1" applyAlignment="1">
      <alignment horizontal="center" wrapText="1"/>
    </xf>
    <xf numFmtId="0" fontId="13" fillId="9" borderId="30" xfId="0" applyFont="1" applyFill="1" applyBorder="1" applyAlignment="1">
      <alignment horizontal="center" wrapText="1"/>
    </xf>
    <xf numFmtId="0" fontId="13" fillId="9" borderId="31" xfId="0" applyFont="1" applyFill="1" applyBorder="1" applyAlignment="1">
      <alignment horizontal="center" wrapText="1"/>
    </xf>
    <xf numFmtId="0" fontId="13" fillId="9" borderId="32" xfId="0" applyFont="1" applyFill="1" applyBorder="1" applyAlignment="1">
      <alignment horizontal="center" wrapText="1"/>
    </xf>
    <xf numFmtId="0" fontId="13" fillId="9" borderId="0" xfId="0" applyFont="1" applyFill="1" applyAlignment="1">
      <alignment horizontal="center" wrapText="1"/>
    </xf>
    <xf numFmtId="0" fontId="13" fillId="9" borderId="33" xfId="0" applyFont="1" applyFill="1" applyBorder="1" applyAlignment="1">
      <alignment horizontal="center" wrapText="1"/>
    </xf>
    <xf numFmtId="0" fontId="13" fillId="9" borderId="34" xfId="0" applyFont="1" applyFill="1" applyBorder="1" applyAlignment="1">
      <alignment horizontal="center" wrapText="1"/>
    </xf>
    <xf numFmtId="0" fontId="13" fillId="9" borderId="35" xfId="0" applyFont="1" applyFill="1" applyBorder="1" applyAlignment="1">
      <alignment horizontal="center" wrapText="1"/>
    </xf>
    <xf numFmtId="0" fontId="0" fillId="9" borderId="36" xfId="0" applyFill="1" applyBorder="1" applyAlignment="1">
      <alignment horizontal="center"/>
    </xf>
    <xf numFmtId="0" fontId="0" fillId="9" borderId="0" xfId="0" applyFill="1" applyAlignment="1">
      <alignment horizontal="center"/>
    </xf>
    <xf numFmtId="0" fontId="0" fillId="9" borderId="16" xfId="0" applyFill="1" applyBorder="1"/>
    <xf numFmtId="0" fontId="0" fillId="9" borderId="37" xfId="0" applyFill="1" applyBorder="1" applyAlignment="1">
      <alignment horizontal="center"/>
    </xf>
    <xf numFmtId="14" fontId="14" fillId="9" borderId="38" xfId="0" applyNumberFormat="1" applyFont="1" applyFill="1" applyBorder="1"/>
    <xf numFmtId="14" fontId="0" fillId="9" borderId="0" xfId="0" quotePrefix="1" applyNumberFormat="1" applyFill="1"/>
    <xf numFmtId="14" fontId="0" fillId="9" borderId="1" xfId="0" applyNumberFormat="1" applyFill="1" applyBorder="1"/>
    <xf numFmtId="0" fontId="14" fillId="9" borderId="1" xfId="0" applyFont="1" applyFill="1" applyBorder="1" applyAlignment="1">
      <alignment horizontal="center"/>
    </xf>
    <xf numFmtId="166" fontId="14" fillId="9" borderId="0" xfId="0" applyNumberFormat="1" applyFont="1" applyFill="1" applyAlignment="1">
      <alignment horizontal="center"/>
    </xf>
    <xf numFmtId="0" fontId="0" fillId="9" borderId="0" xfId="0" quotePrefix="1" applyFill="1"/>
    <xf numFmtId="0" fontId="0" fillId="9" borderId="37" xfId="0" applyFill="1" applyBorder="1"/>
    <xf numFmtId="14" fontId="0" fillId="9" borderId="36" xfId="0" applyNumberFormat="1" applyFill="1" applyBorder="1"/>
    <xf numFmtId="1" fontId="14" fillId="9" borderId="38" xfId="0" applyNumberFormat="1" applyFont="1" applyFill="1" applyBorder="1" applyAlignment="1">
      <alignment horizontal="center"/>
    </xf>
    <xf numFmtId="14" fontId="14" fillId="9" borderId="0" xfId="0" quotePrefix="1" applyNumberFormat="1" applyFont="1" applyFill="1" applyAlignment="1">
      <alignment horizontal="left"/>
    </xf>
    <xf numFmtId="0" fontId="0" fillId="9" borderId="1" xfId="0" applyFill="1" applyBorder="1" applyAlignment="1">
      <alignment horizontal="center"/>
    </xf>
    <xf numFmtId="0" fontId="0" fillId="9" borderId="6" xfId="0" applyFill="1" applyBorder="1" applyAlignment="1">
      <alignment horizontal="center"/>
    </xf>
    <xf numFmtId="0" fontId="0" fillId="9" borderId="6" xfId="0" applyFill="1" applyBorder="1"/>
    <xf numFmtId="14" fontId="0" fillId="9" borderId="1" xfId="0" quotePrefix="1" applyNumberFormat="1" applyFill="1" applyBorder="1"/>
    <xf numFmtId="167" fontId="0" fillId="9" borderId="1" xfId="0" applyNumberFormat="1" applyFill="1" applyBorder="1"/>
    <xf numFmtId="16" fontId="0" fillId="9" borderId="1" xfId="0" applyNumberFormat="1" applyFill="1" applyBorder="1"/>
    <xf numFmtId="0" fontId="0" fillId="9" borderId="9" xfId="0" applyFill="1" applyBorder="1" applyAlignment="1">
      <alignment horizontal="center"/>
    </xf>
    <xf numFmtId="0" fontId="0" fillId="9" borderId="10" xfId="0" applyFill="1" applyBorder="1" applyAlignment="1">
      <alignment horizontal="center"/>
    </xf>
    <xf numFmtId="0" fontId="0" fillId="9" borderId="9" xfId="0" applyFill="1" applyBorder="1"/>
    <xf numFmtId="14" fontId="0" fillId="9" borderId="10" xfId="0" applyNumberFormat="1" applyFill="1" applyBorder="1"/>
    <xf numFmtId="0" fontId="0" fillId="9" borderId="18" xfId="0" applyFill="1" applyBorder="1"/>
    <xf numFmtId="0" fontId="0" fillId="9" borderId="19" xfId="0" applyFill="1" applyBorder="1"/>
    <xf numFmtId="0" fontId="0" fillId="9" borderId="13" xfId="0" applyFill="1" applyBorder="1"/>
    <xf numFmtId="0" fontId="0" fillId="9" borderId="14" xfId="0" applyFill="1" applyBorder="1"/>
    <xf numFmtId="0" fontId="0" fillId="9" borderId="1" xfId="0" applyFill="1" applyBorder="1"/>
    <xf numFmtId="164" fontId="0" fillId="9" borderId="1" xfId="1" applyNumberFormat="1" applyFont="1" applyFill="1" applyBorder="1" applyAlignment="1">
      <alignment horizontal="center"/>
    </xf>
    <xf numFmtId="164" fontId="0" fillId="9" borderId="1" xfId="1" applyNumberFormat="1" applyFont="1" applyFill="1" applyBorder="1"/>
    <xf numFmtId="0" fontId="0" fillId="9" borderId="0" xfId="0" applyFill="1" applyAlignment="1">
      <alignment horizontal="left"/>
    </xf>
    <xf numFmtId="0" fontId="0" fillId="9" borderId="1" xfId="0" applyFill="1" applyBorder="1" applyAlignment="1">
      <alignment horizontal="left"/>
    </xf>
    <xf numFmtId="0" fontId="15" fillId="9" borderId="0" xfId="0" applyFont="1" applyFill="1"/>
    <xf numFmtId="0" fontId="13" fillId="9" borderId="1" xfId="0" applyFont="1" applyFill="1" applyBorder="1" applyAlignment="1">
      <alignment horizontal="center"/>
    </xf>
    <xf numFmtId="0" fontId="7" fillId="3" borderId="0" xfId="0" applyFont="1" applyFill="1" applyAlignment="1">
      <alignment vertical="center" wrapText="1"/>
    </xf>
    <xf numFmtId="0" fontId="5" fillId="9" borderId="39" xfId="0" applyFont="1" applyFill="1" applyBorder="1" applyAlignment="1">
      <alignment horizontal="center" wrapText="1"/>
    </xf>
    <xf numFmtId="0" fontId="9" fillId="9" borderId="12" xfId="0" applyFont="1" applyFill="1" applyBorder="1" applyAlignment="1">
      <alignment horizontal="center"/>
    </xf>
    <xf numFmtId="0" fontId="16" fillId="9" borderId="6" xfId="0" applyFont="1" applyFill="1" applyBorder="1" applyAlignment="1">
      <alignment horizontal="center" vertical="center"/>
    </xf>
    <xf numFmtId="0" fontId="16" fillId="9" borderId="1" xfId="0" applyFont="1" applyFill="1" applyBorder="1" applyAlignment="1">
      <alignment horizontal="center" vertical="center"/>
    </xf>
    <xf numFmtId="0" fontId="9" fillId="9" borderId="1" xfId="0" applyFont="1" applyFill="1" applyBorder="1" applyAlignment="1">
      <alignment horizontal="center" vertical="center"/>
    </xf>
    <xf numFmtId="164" fontId="0" fillId="9" borderId="0" xfId="1" applyNumberFormat="1" applyFont="1" applyFill="1" applyAlignment="1">
      <alignment horizontal="left"/>
    </xf>
    <xf numFmtId="0" fontId="19" fillId="9" borderId="6" xfId="0" applyFont="1" applyFill="1" applyBorder="1" applyAlignment="1">
      <alignment horizontal="center" vertical="center"/>
    </xf>
    <xf numFmtId="0" fontId="19" fillId="9" borderId="1" xfId="0" applyFont="1" applyFill="1" applyBorder="1" applyAlignment="1">
      <alignment horizontal="left" vertical="center"/>
    </xf>
    <xf numFmtId="6" fontId="0" fillId="9" borderId="1" xfId="0" applyNumberFormat="1" applyFill="1" applyBorder="1"/>
    <xf numFmtId="10" fontId="0" fillId="9" borderId="1" xfId="2" applyNumberFormat="1" applyFont="1" applyFill="1" applyBorder="1"/>
    <xf numFmtId="1" fontId="0" fillId="9" borderId="1" xfId="0" applyNumberFormat="1" applyFill="1" applyBorder="1"/>
    <xf numFmtId="6" fontId="0" fillId="9" borderId="0" xfId="0" applyNumberFormat="1" applyFill="1" applyAlignment="1">
      <alignment horizontal="left"/>
    </xf>
    <xf numFmtId="6" fontId="9" fillId="9" borderId="1" xfId="0" applyNumberFormat="1" applyFont="1" applyFill="1" applyBorder="1"/>
    <xf numFmtId="6" fontId="0" fillId="9" borderId="0" xfId="0" applyNumberFormat="1" applyFill="1"/>
    <xf numFmtId="0" fontId="0" fillId="9" borderId="15" xfId="0" applyFill="1" applyBorder="1" applyAlignment="1">
      <alignment horizontal="center"/>
    </xf>
    <xf numFmtId="0" fontId="0" fillId="9" borderId="17" xfId="0" applyFill="1" applyBorder="1" applyAlignment="1">
      <alignment horizontal="center"/>
    </xf>
    <xf numFmtId="0" fontId="19" fillId="9" borderId="0" xfId="0" applyFont="1" applyFill="1" applyAlignment="1">
      <alignment horizontal="left" vertical="center"/>
    </xf>
    <xf numFmtId="0" fontId="9" fillId="9" borderId="1" xfId="0" applyFont="1" applyFill="1" applyBorder="1" applyAlignment="1">
      <alignment horizontal="center"/>
    </xf>
    <xf numFmtId="0" fontId="9" fillId="9" borderId="1" xfId="0" applyFont="1" applyFill="1" applyBorder="1"/>
    <xf numFmtId="14" fontId="0" fillId="9" borderId="1" xfId="0" applyNumberFormat="1" applyFill="1" applyBorder="1" applyAlignment="1">
      <alignment horizontal="left"/>
    </xf>
    <xf numFmtId="0" fontId="17" fillId="9" borderId="1" xfId="0" applyFont="1" applyFill="1" applyBorder="1" applyAlignment="1">
      <alignment horizontal="center"/>
    </xf>
    <xf numFmtId="0" fontId="0" fillId="9" borderId="0" xfId="0" applyFill="1" applyAlignment="1">
      <alignment horizontal="center" vertical="top" wrapText="1"/>
    </xf>
    <xf numFmtId="0" fontId="9" fillId="9" borderId="1" xfId="0" applyFont="1" applyFill="1" applyBorder="1" applyAlignment="1">
      <alignment horizontal="center" vertical="top" wrapText="1"/>
    </xf>
    <xf numFmtId="168" fontId="0" fillId="9" borderId="1" xfId="1" applyNumberFormat="1" applyFont="1" applyFill="1" applyBorder="1"/>
    <xf numFmtId="164" fontId="0" fillId="9" borderId="0" xfId="0" applyNumberFormat="1" applyFill="1"/>
    <xf numFmtId="9" fontId="0" fillId="9" borderId="0" xfId="0" applyNumberFormat="1" applyFill="1"/>
    <xf numFmtId="9" fontId="0" fillId="9" borderId="0" xfId="2" applyFont="1" applyFill="1"/>
    <xf numFmtId="2" fontId="0" fillId="9" borderId="1" xfId="1" applyNumberFormat="1" applyFont="1" applyFill="1" applyBorder="1"/>
    <xf numFmtId="0" fontId="9" fillId="9" borderId="0" xfId="0" applyFont="1" applyFill="1" applyAlignment="1">
      <alignment horizontal="center" vertical="top" wrapText="1"/>
    </xf>
    <xf numFmtId="9" fontId="0" fillId="9" borderId="1" xfId="2" applyFont="1" applyFill="1" applyBorder="1"/>
    <xf numFmtId="0" fontId="9" fillId="9" borderId="27" xfId="0" applyFont="1" applyFill="1" applyBorder="1" applyAlignment="1">
      <alignment horizontal="center"/>
    </xf>
    <xf numFmtId="0" fontId="9" fillId="9" borderId="29" xfId="0" applyFont="1" applyFill="1" applyBorder="1" applyAlignment="1">
      <alignment horizontal="center"/>
    </xf>
    <xf numFmtId="165" fontId="0" fillId="9" borderId="38" xfId="1" applyNumberFormat="1" applyFont="1" applyFill="1" applyBorder="1"/>
    <xf numFmtId="165" fontId="0" fillId="9" borderId="0" xfId="0" applyNumberFormat="1" applyFill="1"/>
    <xf numFmtId="165" fontId="0" fillId="9" borderId="7" xfId="1" applyNumberFormat="1" applyFont="1" applyFill="1" applyBorder="1"/>
    <xf numFmtId="0" fontId="0" fillId="9" borderId="42" xfId="0" applyFill="1" applyBorder="1"/>
    <xf numFmtId="165" fontId="0" fillId="9" borderId="43" xfId="1" applyNumberFormat="1" applyFont="1" applyFill="1" applyBorder="1"/>
    <xf numFmtId="0" fontId="9" fillId="9" borderId="27" xfId="0" applyFont="1" applyFill="1" applyBorder="1"/>
    <xf numFmtId="165" fontId="9" fillId="9" borderId="29" xfId="1" applyNumberFormat="1" applyFont="1" applyFill="1" applyBorder="1"/>
    <xf numFmtId="0" fontId="9" fillId="9" borderId="28" xfId="0" applyFont="1" applyFill="1" applyBorder="1" applyAlignment="1">
      <alignment horizontal="center"/>
    </xf>
    <xf numFmtId="164" fontId="0" fillId="9" borderId="36" xfId="1" applyNumberFormat="1" applyFont="1" applyFill="1" applyBorder="1"/>
    <xf numFmtId="9" fontId="0" fillId="9" borderId="38" xfId="2" applyFont="1" applyFill="1" applyBorder="1"/>
    <xf numFmtId="9" fontId="0" fillId="9" borderId="7" xfId="2" applyFont="1" applyFill="1" applyBorder="1"/>
    <xf numFmtId="164" fontId="0" fillId="9" borderId="10" xfId="1" applyNumberFormat="1" applyFont="1" applyFill="1" applyBorder="1"/>
    <xf numFmtId="9" fontId="0" fillId="9" borderId="11" xfId="2" applyFont="1" applyFill="1" applyBorder="1"/>
    <xf numFmtId="0" fontId="9" fillId="9" borderId="33" xfId="0" applyFont="1" applyFill="1" applyBorder="1"/>
    <xf numFmtId="0" fontId="9" fillId="9" borderId="34" xfId="0" applyFont="1" applyFill="1" applyBorder="1" applyAlignment="1">
      <alignment horizontal="center"/>
    </xf>
    <xf numFmtId="164" fontId="9" fillId="9" borderId="34" xfId="0" applyNumberFormat="1" applyFont="1" applyFill="1" applyBorder="1"/>
    <xf numFmtId="9" fontId="9" fillId="9" borderId="35" xfId="0" applyNumberFormat="1" applyFont="1" applyFill="1" applyBorder="1"/>
    <xf numFmtId="0" fontId="13" fillId="9" borderId="0" xfId="3" applyFont="1" applyFill="1"/>
    <xf numFmtId="2" fontId="13" fillId="9" borderId="0" xfId="3" applyNumberFormat="1" applyFont="1" applyFill="1"/>
    <xf numFmtId="49" fontId="18" fillId="9" borderId="44" xfId="3" applyNumberFormat="1" applyFont="1" applyFill="1" applyBorder="1" applyAlignment="1">
      <alignment horizontal="center" vertical="top" wrapText="1"/>
    </xf>
    <xf numFmtId="49" fontId="18" fillId="9" borderId="45" xfId="3" applyNumberFormat="1" applyFont="1" applyFill="1" applyBorder="1" applyAlignment="1">
      <alignment horizontal="center" vertical="top" wrapText="1"/>
    </xf>
    <xf numFmtId="49" fontId="18" fillId="9" borderId="46" xfId="3" applyNumberFormat="1" applyFont="1" applyFill="1" applyBorder="1" applyAlignment="1">
      <alignment horizontal="center" vertical="top" wrapText="1"/>
    </xf>
    <xf numFmtId="0" fontId="14" fillId="9" borderId="0" xfId="3" applyFill="1" applyAlignment="1">
      <alignment horizontal="center" vertical="top" wrapText="1"/>
    </xf>
    <xf numFmtId="49" fontId="18" fillId="9" borderId="47" xfId="3" applyNumberFormat="1" applyFont="1" applyFill="1" applyBorder="1" applyAlignment="1">
      <alignment horizontal="center" vertical="top" wrapText="1"/>
    </xf>
    <xf numFmtId="49" fontId="18" fillId="9" borderId="48" xfId="3" applyNumberFormat="1" applyFont="1" applyFill="1" applyBorder="1" applyAlignment="1">
      <alignment horizontal="center" vertical="top" wrapText="1"/>
    </xf>
    <xf numFmtId="49" fontId="18" fillId="9" borderId="49" xfId="3" applyNumberFormat="1" applyFont="1" applyFill="1" applyBorder="1" applyAlignment="1">
      <alignment horizontal="center" vertical="top" wrapText="1"/>
    </xf>
    <xf numFmtId="49" fontId="14" fillId="9" borderId="36" xfId="3" applyNumberFormat="1" applyFill="1" applyBorder="1"/>
    <xf numFmtId="0" fontId="14" fillId="9" borderId="36" xfId="3" applyFill="1" applyBorder="1"/>
    <xf numFmtId="2" fontId="14" fillId="9" borderId="36" xfId="3" applyNumberFormat="1" applyFill="1" applyBorder="1"/>
    <xf numFmtId="14" fontId="14" fillId="9" borderId="36" xfId="3" applyNumberFormat="1" applyFill="1" applyBorder="1"/>
    <xf numFmtId="0" fontId="14" fillId="9" borderId="0" xfId="3" applyFill="1"/>
    <xf numFmtId="49" fontId="18" fillId="9" borderId="50" xfId="3" applyNumberFormat="1" applyFont="1" applyFill="1" applyBorder="1"/>
    <xf numFmtId="170" fontId="0" fillId="9" borderId="16" xfId="4" applyNumberFormat="1" applyFont="1" applyFill="1" applyBorder="1"/>
    <xf numFmtId="49" fontId="14" fillId="9" borderId="1" xfId="3" applyNumberFormat="1" applyFill="1" applyBorder="1"/>
    <xf numFmtId="0" fontId="14" fillId="9" borderId="1" xfId="3" applyFill="1" applyBorder="1"/>
    <xf numFmtId="2" fontId="14" fillId="9" borderId="1" xfId="3" applyNumberFormat="1" applyFill="1" applyBorder="1"/>
    <xf numFmtId="14" fontId="14" fillId="9" borderId="1" xfId="3" applyNumberFormat="1" applyFill="1" applyBorder="1"/>
    <xf numFmtId="49" fontId="18" fillId="9" borderId="51" xfId="3" applyNumberFormat="1" applyFont="1" applyFill="1" applyBorder="1"/>
    <xf numFmtId="164" fontId="13" fillId="9" borderId="24" xfId="1" applyNumberFormat="1" applyFont="1" applyFill="1" applyBorder="1"/>
    <xf numFmtId="164" fontId="13" fillId="9" borderId="25" xfId="1" applyNumberFormat="1" applyFont="1" applyFill="1" applyBorder="1"/>
    <xf numFmtId="170" fontId="13" fillId="9" borderId="26" xfId="1" applyNumberFormat="1" applyFont="1" applyFill="1" applyBorder="1"/>
    <xf numFmtId="49" fontId="18" fillId="9" borderId="47" xfId="3" applyNumberFormat="1" applyFont="1" applyFill="1" applyBorder="1"/>
    <xf numFmtId="49" fontId="18" fillId="9" borderId="48" xfId="3" applyNumberFormat="1" applyFont="1" applyFill="1" applyBorder="1"/>
    <xf numFmtId="49" fontId="18" fillId="9" borderId="49" xfId="3" applyNumberFormat="1" applyFont="1" applyFill="1" applyBorder="1"/>
    <xf numFmtId="1" fontId="13" fillId="9" borderId="0" xfId="3" applyNumberFormat="1" applyFont="1" applyFill="1"/>
    <xf numFmtId="0" fontId="14" fillId="9" borderId="0" xfId="3" quotePrefix="1" applyFill="1"/>
    <xf numFmtId="0" fontId="13" fillId="9" borderId="18" xfId="3" applyFont="1" applyFill="1" applyBorder="1"/>
    <xf numFmtId="170" fontId="0" fillId="9" borderId="19" xfId="4" applyNumberFormat="1" applyFont="1" applyFill="1" applyBorder="1"/>
    <xf numFmtId="49" fontId="14" fillId="9" borderId="17" xfId="3" applyNumberFormat="1" applyFill="1" applyBorder="1"/>
    <xf numFmtId="170" fontId="13" fillId="9" borderId="19" xfId="3" applyNumberFormat="1" applyFont="1" applyFill="1" applyBorder="1"/>
    <xf numFmtId="49" fontId="18" fillId="9" borderId="0" xfId="3" applyNumberFormat="1" applyFont="1" applyFill="1"/>
    <xf numFmtId="49" fontId="18" fillId="9" borderId="52" xfId="3" applyNumberFormat="1" applyFont="1" applyFill="1" applyBorder="1"/>
    <xf numFmtId="0" fontId="14" fillId="9" borderId="12" xfId="3" applyFill="1" applyBorder="1"/>
    <xf numFmtId="49" fontId="18" fillId="9" borderId="53" xfId="3" applyNumberFormat="1" applyFont="1" applyFill="1" applyBorder="1"/>
    <xf numFmtId="49" fontId="18" fillId="9" borderId="54" xfId="3" applyNumberFormat="1" applyFont="1" applyFill="1" applyBorder="1"/>
    <xf numFmtId="49" fontId="18" fillId="9" borderId="55" xfId="3" applyNumberFormat="1" applyFont="1" applyFill="1" applyBorder="1"/>
    <xf numFmtId="0" fontId="14" fillId="9" borderId="56" xfId="3" applyFill="1" applyBorder="1"/>
    <xf numFmtId="0" fontId="14" fillId="9" borderId="57" xfId="3" applyFill="1" applyBorder="1"/>
    <xf numFmtId="49" fontId="18" fillId="9" borderId="24" xfId="3" applyNumberFormat="1" applyFont="1" applyFill="1" applyBorder="1"/>
    <xf numFmtId="0" fontId="14" fillId="9" borderId="58" xfId="3" applyFill="1" applyBorder="1"/>
    <xf numFmtId="0" fontId="14" fillId="9" borderId="25" xfId="3" applyFill="1" applyBorder="1"/>
    <xf numFmtId="0" fontId="13" fillId="9" borderId="39" xfId="3" applyFont="1" applyFill="1" applyBorder="1"/>
    <xf numFmtId="170" fontId="0" fillId="9" borderId="0" xfId="4" applyNumberFormat="1" applyFont="1" applyFill="1" applyBorder="1"/>
    <xf numFmtId="170" fontId="0" fillId="9" borderId="56" xfId="4" applyNumberFormat="1" applyFont="1" applyFill="1" applyBorder="1"/>
    <xf numFmtId="170" fontId="0" fillId="9" borderId="57" xfId="4" applyNumberFormat="1" applyFont="1" applyFill="1" applyBorder="1"/>
    <xf numFmtId="170" fontId="0" fillId="9" borderId="58" xfId="4" applyNumberFormat="1" applyFont="1" applyFill="1" applyBorder="1"/>
    <xf numFmtId="170" fontId="0" fillId="9" borderId="25" xfId="4" applyNumberFormat="1" applyFont="1" applyFill="1" applyBorder="1"/>
    <xf numFmtId="170" fontId="9" fillId="9" borderId="39" xfId="4" applyNumberFormat="1" applyFont="1" applyFill="1" applyBorder="1"/>
    <xf numFmtId="0" fontId="20" fillId="0" borderId="0" xfId="0" applyFont="1" applyAlignment="1">
      <alignment horizontal="center"/>
    </xf>
    <xf numFmtId="0" fontId="20" fillId="0" borderId="0" xfId="0" applyFont="1"/>
    <xf numFmtId="0" fontId="0" fillId="0" borderId="0" xfId="0" applyAlignment="1">
      <alignment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59" xfId="0" applyFont="1" applyBorder="1" applyAlignment="1">
      <alignment horizontal="center" vertical="center"/>
    </xf>
    <xf numFmtId="0" fontId="16" fillId="0" borderId="5" xfId="0" applyFont="1" applyBorder="1" applyAlignment="1">
      <alignment horizontal="center" vertical="center" wrapText="1"/>
    </xf>
    <xf numFmtId="0" fontId="19" fillId="0" borderId="6" xfId="0" applyFont="1" applyBorder="1" applyAlignment="1">
      <alignment horizontal="center" vertical="center"/>
    </xf>
    <xf numFmtId="0" fontId="19" fillId="0" borderId="1" xfId="0" applyFont="1" applyBorder="1" applyAlignment="1">
      <alignment horizontal="justify" vertical="center"/>
    </xf>
    <xf numFmtId="164" fontId="19" fillId="0" borderId="22" xfId="1" applyNumberFormat="1" applyFont="1" applyFill="1" applyBorder="1" applyAlignment="1">
      <alignment horizontal="justify" vertical="center"/>
    </xf>
    <xf numFmtId="164" fontId="0" fillId="0" borderId="8" xfId="0" applyNumberFormat="1" applyBorder="1" applyAlignment="1">
      <alignment vertical="center"/>
    </xf>
    <xf numFmtId="0" fontId="19" fillId="0" borderId="9" xfId="0" applyFont="1" applyBorder="1" applyAlignment="1">
      <alignment horizontal="center" vertical="center"/>
    </xf>
    <xf numFmtId="0" fontId="19" fillId="0" borderId="10" xfId="0" applyFont="1" applyBorder="1" applyAlignment="1">
      <alignment horizontal="justify" vertical="center"/>
    </xf>
    <xf numFmtId="164" fontId="19" fillId="0" borderId="60" xfId="1" applyNumberFormat="1" applyFont="1" applyFill="1" applyBorder="1" applyAlignment="1">
      <alignment horizontal="justify" vertical="center"/>
    </xf>
    <xf numFmtId="0" fontId="20" fillId="0" borderId="0" xfId="0" applyFont="1" applyAlignment="1">
      <alignment horizontal="center" vertical="center"/>
    </xf>
    <xf numFmtId="0" fontId="20" fillId="0" borderId="0" xfId="0" applyFont="1" applyAlignment="1">
      <alignment vertical="center"/>
    </xf>
    <xf numFmtId="9" fontId="9" fillId="0" borderId="5" xfId="0" applyNumberFormat="1" applyFont="1" applyBorder="1" applyAlignment="1">
      <alignment horizontal="center" vertical="center"/>
    </xf>
    <xf numFmtId="0" fontId="16" fillId="0" borderId="8" xfId="0" applyFont="1" applyBorder="1" applyAlignment="1">
      <alignment horizontal="center" vertical="center"/>
    </xf>
    <xf numFmtId="9" fontId="9" fillId="0" borderId="27" xfId="0" applyNumberFormat="1" applyFont="1" applyBorder="1" applyAlignment="1">
      <alignment horizontal="center" vertical="center"/>
    </xf>
    <xf numFmtId="9" fontId="9" fillId="0" borderId="28" xfId="0" applyNumberFormat="1" applyFont="1" applyBorder="1" applyAlignment="1">
      <alignment horizontal="center" vertical="center"/>
    </xf>
    <xf numFmtId="9" fontId="9" fillId="0" borderId="29" xfId="0" applyNumberFormat="1" applyFont="1" applyBorder="1" applyAlignment="1">
      <alignment horizontal="center" vertical="center"/>
    </xf>
    <xf numFmtId="0" fontId="16" fillId="0" borderId="33" xfId="0" applyFont="1" applyBorder="1" applyAlignment="1">
      <alignment horizontal="center" vertical="center"/>
    </xf>
    <xf numFmtId="0" fontId="16" fillId="0" borderId="61" xfId="0" applyFont="1" applyBorder="1" applyAlignment="1">
      <alignment horizontal="center" vertical="center"/>
    </xf>
    <xf numFmtId="0" fontId="16" fillId="0" borderId="19" xfId="0" applyFont="1" applyBorder="1" applyAlignment="1">
      <alignment horizontal="center" vertical="center"/>
    </xf>
    <xf numFmtId="164" fontId="0" fillId="0" borderId="37" xfId="1" applyNumberFormat="1" applyFont="1" applyFill="1" applyBorder="1" applyAlignment="1">
      <alignment vertical="center"/>
    </xf>
    <xf numFmtId="0" fontId="0" fillId="0" borderId="0" xfId="0" applyAlignment="1">
      <alignment horizontal="center" vertical="center"/>
    </xf>
    <xf numFmtId="0" fontId="9" fillId="0" borderId="0" xfId="0" applyFont="1" applyAlignment="1">
      <alignment horizontal="center"/>
    </xf>
    <xf numFmtId="0" fontId="12" fillId="0" borderId="0" xfId="0" applyFont="1" applyAlignment="1">
      <alignment horizontal="center"/>
    </xf>
    <xf numFmtId="0" fontId="16" fillId="0" borderId="27" xfId="0" applyFont="1" applyBorder="1" applyAlignment="1">
      <alignment horizontal="center" vertical="center"/>
    </xf>
    <xf numFmtId="0" fontId="16" fillId="0" borderId="28" xfId="0" applyFont="1" applyBorder="1" applyAlignment="1">
      <alignment horizontal="center" vertical="center"/>
    </xf>
    <xf numFmtId="0" fontId="16" fillId="0" borderId="28" xfId="0" applyFont="1" applyBorder="1" applyAlignment="1">
      <alignment horizontal="center" vertical="center" wrapText="1"/>
    </xf>
    <xf numFmtId="0" fontId="16" fillId="0" borderId="29" xfId="0" applyFont="1" applyBorder="1" applyAlignment="1">
      <alignment horizontal="center" vertical="center"/>
    </xf>
    <xf numFmtId="0" fontId="19" fillId="0" borderId="37" xfId="0" applyFont="1" applyBorder="1" applyAlignment="1">
      <alignment horizontal="center"/>
    </xf>
    <xf numFmtId="0" fontId="19" fillId="0" borderId="36" xfId="0" applyFont="1" applyBorder="1" applyAlignment="1">
      <alignment horizontal="justify"/>
    </xf>
    <xf numFmtId="164" fontId="19" fillId="0" borderId="36" xfId="1" applyNumberFormat="1" applyFont="1" applyFill="1" applyBorder="1" applyAlignment="1">
      <alignment horizontal="justify"/>
    </xf>
    <xf numFmtId="164" fontId="0" fillId="0" borderId="36" xfId="0" applyNumberFormat="1" applyBorder="1"/>
    <xf numFmtId="164" fontId="0" fillId="0" borderId="38" xfId="0" applyNumberFormat="1" applyBorder="1"/>
    <xf numFmtId="164" fontId="0" fillId="0" borderId="37" xfId="1" applyNumberFormat="1" applyFont="1" applyFill="1" applyBorder="1" applyAlignment="1"/>
    <xf numFmtId="164" fontId="0" fillId="0" borderId="36" xfId="1" applyNumberFormat="1" applyFont="1" applyFill="1" applyBorder="1" applyAlignment="1"/>
    <xf numFmtId="164" fontId="0" fillId="0" borderId="38" xfId="1" applyNumberFormat="1" applyFont="1" applyFill="1" applyBorder="1" applyAlignment="1"/>
    <xf numFmtId="0" fontId="19" fillId="0" borderId="6" xfId="0" applyFont="1" applyBorder="1" applyAlignment="1">
      <alignment horizontal="center"/>
    </xf>
    <xf numFmtId="0" fontId="19" fillId="0" borderId="1" xfId="0" applyFont="1" applyBorder="1" applyAlignment="1">
      <alignment horizontal="justify"/>
    </xf>
    <xf numFmtId="164" fontId="19" fillId="0" borderId="1" xfId="1" applyNumberFormat="1" applyFont="1" applyFill="1" applyBorder="1" applyAlignment="1">
      <alignment horizontal="justify"/>
    </xf>
    <xf numFmtId="164" fontId="0" fillId="0" borderId="1" xfId="0" applyNumberFormat="1" applyBorder="1"/>
    <xf numFmtId="164" fontId="0" fillId="0" borderId="7" xfId="0" applyNumberFormat="1" applyBorder="1"/>
    <xf numFmtId="0" fontId="19" fillId="0" borderId="42" xfId="0" applyFont="1" applyBorder="1" applyAlignment="1">
      <alignment horizontal="center"/>
    </xf>
    <xf numFmtId="0" fontId="19" fillId="0" borderId="62" xfId="0" applyFont="1" applyBorder="1" applyAlignment="1">
      <alignment horizontal="justify"/>
    </xf>
    <xf numFmtId="0" fontId="19" fillId="0" borderId="62" xfId="0" applyFont="1" applyBorder="1" applyAlignment="1">
      <alignment horizontal="left"/>
    </xf>
    <xf numFmtId="164" fontId="19" fillId="0" borderId="62" xfId="1" applyNumberFormat="1" applyFont="1" applyFill="1" applyBorder="1" applyAlignment="1">
      <alignment horizontal="justify"/>
    </xf>
    <xf numFmtId="164" fontId="0" fillId="0" borderId="62" xfId="0" applyNumberFormat="1" applyBorder="1"/>
    <xf numFmtId="164" fontId="0" fillId="0" borderId="43" xfId="0" applyNumberFormat="1" applyBorder="1"/>
    <xf numFmtId="164" fontId="9" fillId="0" borderId="28" xfId="0" applyNumberFormat="1" applyFont="1" applyBorder="1"/>
    <xf numFmtId="164" fontId="9" fillId="0" borderId="29" xfId="0" applyNumberFormat="1" applyFont="1" applyBorder="1"/>
    <xf numFmtId="164" fontId="9" fillId="0" borderId="27" xfId="1" applyNumberFormat="1" applyFont="1" applyFill="1" applyBorder="1" applyAlignment="1"/>
    <xf numFmtId="164" fontId="9" fillId="0" borderId="28" xfId="1" applyNumberFormat="1" applyFont="1" applyFill="1" applyBorder="1" applyAlignment="1"/>
    <xf numFmtId="164" fontId="9" fillId="0" borderId="29" xfId="1" applyNumberFormat="1" applyFont="1" applyFill="1" applyBorder="1" applyAlignment="1"/>
    <xf numFmtId="0" fontId="17" fillId="0" borderId="0" xfId="0" applyFont="1"/>
    <xf numFmtId="0" fontId="23" fillId="0" borderId="0" xfId="0" applyFont="1" applyAlignment="1">
      <alignment horizontal="left"/>
    </xf>
    <xf numFmtId="0" fontId="24" fillId="0" borderId="0" xfId="0" quotePrefix="1" applyFont="1" applyAlignment="1">
      <alignment horizontal="left"/>
    </xf>
    <xf numFmtId="0" fontId="11" fillId="0" borderId="0" xfId="0" applyFont="1"/>
    <xf numFmtId="0" fontId="23" fillId="0" borderId="0" xfId="0" applyFont="1" applyAlignment="1">
      <alignment horizontal="left" vertical="center"/>
    </xf>
    <xf numFmtId="0" fontId="24" fillId="0" borderId="0" xfId="0" applyFont="1" applyAlignment="1">
      <alignment horizontal="left" vertical="center"/>
    </xf>
    <xf numFmtId="0" fontId="17" fillId="0" borderId="0" xfId="0" applyFont="1" applyAlignment="1">
      <alignment horizontal="left"/>
    </xf>
    <xf numFmtId="0" fontId="11" fillId="0" borderId="0" xfId="0" quotePrefix="1" applyFont="1"/>
    <xf numFmtId="0" fontId="11" fillId="0" borderId="2" xfId="0" applyFont="1" applyBorder="1" applyAlignment="1">
      <alignment horizontal="left"/>
    </xf>
    <xf numFmtId="9" fontId="11" fillId="0" borderId="4" xfId="0" applyNumberFormat="1" applyFont="1" applyBorder="1" applyAlignment="1">
      <alignment horizontal="center"/>
    </xf>
    <xf numFmtId="0" fontId="11" fillId="0" borderId="6" xfId="0" applyFont="1" applyBorder="1" applyAlignment="1">
      <alignment horizontal="left"/>
    </xf>
    <xf numFmtId="9" fontId="11" fillId="0" borderId="7" xfId="0" applyNumberFormat="1" applyFont="1" applyBorder="1" applyAlignment="1">
      <alignment horizontal="center"/>
    </xf>
    <xf numFmtId="0" fontId="11" fillId="0" borderId="9" xfId="0" applyFont="1" applyBorder="1" applyAlignment="1">
      <alignment horizontal="left"/>
    </xf>
    <xf numFmtId="9" fontId="11" fillId="0" borderId="11" xfId="0" applyNumberFormat="1" applyFont="1" applyBorder="1" applyAlignment="1">
      <alignment horizontal="center"/>
    </xf>
    <xf numFmtId="0" fontId="11" fillId="0" borderId="0" xfId="0" applyFont="1" applyAlignment="1">
      <alignment horizontal="left"/>
    </xf>
    <xf numFmtId="9" fontId="11" fillId="0" borderId="0" xfId="0" applyNumberFormat="1" applyFont="1" applyAlignment="1">
      <alignment horizontal="center"/>
    </xf>
    <xf numFmtId="164" fontId="11" fillId="0" borderId="0" xfId="0" applyNumberFormat="1" applyFont="1"/>
    <xf numFmtId="0" fontId="25" fillId="0" borderId="0" xfId="0" applyFont="1" applyAlignment="1">
      <alignment wrapText="1"/>
    </xf>
    <xf numFmtId="0" fontId="26" fillId="0" borderId="1" xfId="0" applyFont="1" applyBorder="1" applyAlignment="1">
      <alignment horizontal="center" vertical="center" wrapText="1"/>
    </xf>
    <xf numFmtId="0" fontId="26" fillId="0" borderId="1" xfId="0" applyFont="1" applyBorder="1" applyAlignment="1">
      <alignment horizontal="center" vertical="center"/>
    </xf>
    <xf numFmtId="0" fontId="26" fillId="0" borderId="0" xfId="0" applyFont="1" applyAlignment="1">
      <alignment horizontal="center" vertical="center"/>
    </xf>
    <xf numFmtId="0" fontId="27" fillId="0" borderId="0" xfId="0" applyFont="1" applyAlignment="1">
      <alignment wrapText="1"/>
    </xf>
    <xf numFmtId="0" fontId="11" fillId="0" borderId="0" xfId="0" applyFont="1" applyAlignment="1">
      <alignment wrapText="1"/>
    </xf>
    <xf numFmtId="0" fontId="28" fillId="0" borderId="1" xfId="0" applyFont="1" applyBorder="1" applyAlignment="1">
      <alignment horizontal="justify" vertical="center" wrapText="1"/>
    </xf>
    <xf numFmtId="0" fontId="28" fillId="0" borderId="1" xfId="0" applyFont="1" applyBorder="1" applyAlignment="1">
      <alignment horizontal="center" vertical="center"/>
    </xf>
    <xf numFmtId="0" fontId="28" fillId="0" borderId="0" xfId="0" applyFont="1" applyAlignment="1">
      <alignment horizontal="center" vertical="center"/>
    </xf>
    <xf numFmtId="0" fontId="29" fillId="0" borderId="0" xfId="0" applyFont="1" applyAlignment="1">
      <alignment wrapText="1"/>
    </xf>
    <xf numFmtId="0" fontId="28" fillId="0" borderId="1" xfId="0" applyFont="1" applyBorder="1" applyAlignment="1">
      <alignment horizontal="center" vertical="center" wrapText="1"/>
    </xf>
    <xf numFmtId="0" fontId="11" fillId="0" borderId="1" xfId="0" applyFont="1" applyBorder="1" applyAlignment="1">
      <alignment wrapText="1"/>
    </xf>
    <xf numFmtId="0" fontId="0" fillId="0" borderId="1" xfId="0" applyBorder="1" applyAlignment="1">
      <alignment horizontal="center"/>
    </xf>
    <xf numFmtId="0" fontId="6" fillId="0" borderId="63" xfId="0" applyFont="1" applyBorder="1" applyAlignment="1">
      <alignment horizontal="justify" vertical="center"/>
    </xf>
    <xf numFmtId="0" fontId="7" fillId="2" borderId="63" xfId="0" applyFont="1" applyFill="1" applyBorder="1" applyAlignment="1">
      <alignment horizontal="center" vertical="center" wrapText="1"/>
    </xf>
    <xf numFmtId="0" fontId="16" fillId="0" borderId="58" xfId="0" applyFont="1" applyBorder="1" applyAlignment="1">
      <alignment horizontal="center" vertical="center"/>
    </xf>
    <xf numFmtId="164" fontId="0" fillId="0" borderId="40" xfId="1" applyNumberFormat="1" applyFont="1" applyFill="1" applyBorder="1" applyAlignment="1"/>
    <xf numFmtId="0" fontId="16" fillId="0" borderId="1" xfId="0" applyFont="1" applyBorder="1" applyAlignment="1">
      <alignment horizontal="center" vertical="center"/>
    </xf>
    <xf numFmtId="171" fontId="9" fillId="0" borderId="0" xfId="0" applyNumberFormat="1" applyFont="1"/>
    <xf numFmtId="164" fontId="9" fillId="6" borderId="28" xfId="1" applyNumberFormat="1" applyFont="1" applyFill="1" applyBorder="1" applyAlignment="1"/>
    <xf numFmtId="0" fontId="21" fillId="0" borderId="27" xfId="0" applyFont="1" applyBorder="1" applyAlignment="1">
      <alignment horizontal="center" vertical="center"/>
    </xf>
    <xf numFmtId="0" fontId="21" fillId="0" borderId="28" xfId="0" applyFont="1" applyBorder="1" applyAlignment="1">
      <alignment horizontal="center" vertical="center"/>
    </xf>
    <xf numFmtId="0" fontId="21" fillId="0" borderId="29" xfId="0" applyFont="1" applyBorder="1" applyAlignment="1">
      <alignment horizontal="center" vertical="center"/>
    </xf>
    <xf numFmtId="0" fontId="21" fillId="0" borderId="58" xfId="0" applyFont="1" applyBorder="1" applyAlignment="1">
      <alignment horizontal="center" vertical="center"/>
    </xf>
    <xf numFmtId="0" fontId="9" fillId="9" borderId="24" xfId="0" applyFont="1" applyFill="1" applyBorder="1" applyAlignment="1">
      <alignment horizontal="center"/>
    </xf>
    <xf numFmtId="0" fontId="9" fillId="9" borderId="25" xfId="0" applyFont="1" applyFill="1" applyBorder="1" applyAlignment="1">
      <alignment horizontal="center"/>
    </xf>
    <xf numFmtId="0" fontId="9" fillId="9" borderId="26" xfId="0" applyFont="1" applyFill="1" applyBorder="1" applyAlignment="1">
      <alignment horizontal="center"/>
    </xf>
    <xf numFmtId="0" fontId="9" fillId="9" borderId="27" xfId="0" applyFont="1" applyFill="1" applyBorder="1" applyAlignment="1">
      <alignment horizontal="center"/>
    </xf>
    <xf numFmtId="0" fontId="9" fillId="9" borderId="28" xfId="0" applyFont="1" applyFill="1" applyBorder="1" applyAlignment="1">
      <alignment horizontal="center"/>
    </xf>
    <xf numFmtId="0" fontId="9" fillId="9" borderId="29" xfId="0" applyFont="1" applyFill="1" applyBorder="1" applyAlignment="1">
      <alignment horizontal="center"/>
    </xf>
    <xf numFmtId="0" fontId="11" fillId="0" borderId="0" xfId="0" applyFont="1" applyAlignment="1">
      <alignment horizontal="left" vertical="top" wrapText="1"/>
    </xf>
    <xf numFmtId="0" fontId="22" fillId="0" borderId="27" xfId="0" applyFont="1" applyBorder="1" applyAlignment="1">
      <alignment horizontal="center"/>
    </xf>
    <xf numFmtId="0" fontId="22" fillId="0" borderId="28" xfId="0" applyFont="1" applyBorder="1" applyAlignment="1">
      <alignment horizontal="center"/>
    </xf>
    <xf numFmtId="0" fontId="5" fillId="9" borderId="0" xfId="0" applyFont="1" applyFill="1" applyAlignment="1">
      <alignment horizontal="center"/>
    </xf>
    <xf numFmtId="0" fontId="0" fillId="0" borderId="0" xfId="0" applyAlignment="1">
      <alignment wrapText="1"/>
    </xf>
    <xf numFmtId="0" fontId="7" fillId="0" borderId="0" xfId="0" applyFont="1" applyAlignment="1">
      <alignment horizontal="justify" vertical="center" wrapText="1"/>
    </xf>
    <xf numFmtId="0" fontId="6" fillId="0" borderId="0" xfId="0" applyFont="1" applyAlignment="1">
      <alignment horizontal="justify" vertical="center" wrapText="1"/>
    </xf>
    <xf numFmtId="0" fontId="17" fillId="9" borderId="22" xfId="0" applyFont="1" applyFill="1" applyBorder="1" applyAlignment="1">
      <alignment horizontal="center"/>
    </xf>
    <xf numFmtId="0" fontId="17" fillId="9" borderId="21" xfId="0" applyFont="1" applyFill="1" applyBorder="1" applyAlignment="1">
      <alignment horizontal="center"/>
    </xf>
    <xf numFmtId="0" fontId="17" fillId="9" borderId="23" xfId="0" applyFont="1" applyFill="1" applyBorder="1" applyAlignment="1">
      <alignment horizontal="center"/>
    </xf>
    <xf numFmtId="0" fontId="15" fillId="9" borderId="22" xfId="0" applyFont="1" applyFill="1" applyBorder="1" applyAlignment="1">
      <alignment horizontal="center"/>
    </xf>
    <xf numFmtId="0" fontId="15" fillId="9" borderId="21" xfId="0" applyFont="1" applyFill="1" applyBorder="1" applyAlignment="1">
      <alignment horizontal="center"/>
    </xf>
    <xf numFmtId="0" fontId="15" fillId="9" borderId="23" xfId="0" applyFont="1" applyFill="1" applyBorder="1" applyAlignment="1">
      <alignment horizontal="center"/>
    </xf>
    <xf numFmtId="0" fontId="9" fillId="9" borderId="40" xfId="0" applyFont="1" applyFill="1" applyBorder="1" applyAlignment="1">
      <alignment horizontal="center"/>
    </xf>
    <xf numFmtId="0" fontId="9" fillId="9" borderId="20" xfId="0" applyFont="1" applyFill="1" applyBorder="1" applyAlignment="1">
      <alignment horizontal="center"/>
    </xf>
    <xf numFmtId="0" fontId="9" fillId="9" borderId="41" xfId="0" applyFont="1" applyFill="1" applyBorder="1" applyAlignment="1">
      <alignment horizontal="center"/>
    </xf>
    <xf numFmtId="0" fontId="15" fillId="9" borderId="24" xfId="0" applyFont="1" applyFill="1" applyBorder="1" applyAlignment="1">
      <alignment horizontal="center"/>
    </xf>
    <xf numFmtId="0" fontId="15" fillId="9" borderId="25" xfId="0" applyFont="1" applyFill="1" applyBorder="1" applyAlignment="1">
      <alignment horizontal="center"/>
    </xf>
    <xf numFmtId="0" fontId="15" fillId="9" borderId="26" xfId="0" applyFont="1" applyFill="1" applyBorder="1" applyAlignment="1">
      <alignment horizontal="center"/>
    </xf>
    <xf numFmtId="0" fontId="9" fillId="3" borderId="22" xfId="0" applyFont="1" applyFill="1" applyBorder="1" applyAlignment="1">
      <alignment horizontal="center"/>
    </xf>
    <xf numFmtId="0" fontId="9" fillId="3" borderId="23" xfId="0" applyFont="1" applyFill="1" applyBorder="1" applyAlignment="1">
      <alignment horizontal="center"/>
    </xf>
    <xf numFmtId="0" fontId="14" fillId="9" borderId="0" xfId="3" quotePrefix="1" applyFill="1" applyAlignment="1">
      <alignment horizontal="left"/>
    </xf>
    <xf numFmtId="0" fontId="2" fillId="7" borderId="0" xfId="0" applyFont="1" applyFill="1" applyAlignment="1">
      <alignment horizontal="center" vertical="center"/>
    </xf>
  </cellXfs>
  <cellStyles count="5">
    <cellStyle name="Comma" xfId="1" builtinId="3"/>
    <cellStyle name="Comma 2" xfId="4" xr:uid="{04337109-7652-4C4D-B8EE-E9B0C25039C7}"/>
    <cellStyle name="Normal" xfId="0" builtinId="0"/>
    <cellStyle name="Normal 2" xfId="3" xr:uid="{0381CD50-2892-4F53-88BA-D8A5DA33C6C8}"/>
    <cellStyle name="Percent" xfId="2" builtinId="5"/>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Same data in Line Charts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'Types of Charts'!$H$4</c:f>
              <c:strCache>
                <c:ptCount val="1"/>
                <c:pt idx="0">
                  <c:v>Computers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'Types of Charts'!$G$5:$G$8</c:f>
              <c:numCache>
                <c:formatCode>General</c:formatCode>
                <c:ptCount val="4"/>
                <c:pt idx="0">
                  <c:v>2017</c:v>
                </c:pt>
                <c:pt idx="1">
                  <c:v>2018</c:v>
                </c:pt>
                <c:pt idx="2">
                  <c:v>2019</c:v>
                </c:pt>
                <c:pt idx="3">
                  <c:v>2020</c:v>
                </c:pt>
              </c:numCache>
            </c:numRef>
          </c:cat>
          <c:val>
            <c:numRef>
              <c:f>'Types of Charts'!$H$5:$H$8</c:f>
              <c:numCache>
                <c:formatCode>_ * #,##0_ ;_ * \-#,##0_ ;_ * "-"??_ ;_ @_ </c:formatCode>
                <c:ptCount val="4"/>
                <c:pt idx="0">
                  <c:v>1400</c:v>
                </c:pt>
                <c:pt idx="1">
                  <c:v>2200</c:v>
                </c:pt>
                <c:pt idx="2">
                  <c:v>2100</c:v>
                </c:pt>
                <c:pt idx="3">
                  <c:v>3000</c:v>
                </c:pt>
              </c:numCache>
            </c:numRef>
          </c:val>
          <c:smooth val="0"/>
          <c:extLst>
            <c:ext xmlns:c16="http://schemas.microsoft.com/office/drawing/2014/chart" uri="{C3380CC4-5D6E-409C-BE32-E72D297353CC}">
              <c16:uniqueId val="{00000000-349C-477E-8E54-914445B77494}"/>
            </c:ext>
          </c:extLst>
        </c:ser>
        <c:ser>
          <c:idx val="1"/>
          <c:order val="1"/>
          <c:tx>
            <c:strRef>
              <c:f>'Types of Charts'!$I$4</c:f>
              <c:strCache>
                <c:ptCount val="1"/>
                <c:pt idx="0">
                  <c:v>Furniture</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'Types of Charts'!$G$5:$G$8</c:f>
              <c:numCache>
                <c:formatCode>General</c:formatCode>
                <c:ptCount val="4"/>
                <c:pt idx="0">
                  <c:v>2017</c:v>
                </c:pt>
                <c:pt idx="1">
                  <c:v>2018</c:v>
                </c:pt>
                <c:pt idx="2">
                  <c:v>2019</c:v>
                </c:pt>
                <c:pt idx="3">
                  <c:v>2020</c:v>
                </c:pt>
              </c:numCache>
            </c:numRef>
          </c:cat>
          <c:val>
            <c:numRef>
              <c:f>'Types of Charts'!$I$5:$I$8</c:f>
              <c:numCache>
                <c:formatCode>_ * #,##0_ ;_ * \-#,##0_ ;_ * "-"??_ ;_ @_ </c:formatCode>
                <c:ptCount val="4"/>
                <c:pt idx="0">
                  <c:v>1200</c:v>
                </c:pt>
                <c:pt idx="1">
                  <c:v>1100</c:v>
                </c:pt>
                <c:pt idx="2">
                  <c:v>500</c:v>
                </c:pt>
                <c:pt idx="3">
                  <c:v>750</c:v>
                </c:pt>
              </c:numCache>
            </c:numRef>
          </c:val>
          <c:smooth val="0"/>
          <c:extLst>
            <c:ext xmlns:c16="http://schemas.microsoft.com/office/drawing/2014/chart" uri="{C3380CC4-5D6E-409C-BE32-E72D297353CC}">
              <c16:uniqueId val="{00000001-349C-477E-8E54-914445B77494}"/>
            </c:ext>
          </c:extLst>
        </c:ser>
        <c:ser>
          <c:idx val="2"/>
          <c:order val="2"/>
          <c:tx>
            <c:strRef>
              <c:f>'Types of Charts'!$J$4</c:f>
              <c:strCache>
                <c:ptCount val="1"/>
                <c:pt idx="0">
                  <c:v>Office Supplies</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'Types of Charts'!$G$5:$G$8</c:f>
              <c:numCache>
                <c:formatCode>General</c:formatCode>
                <c:ptCount val="4"/>
                <c:pt idx="0">
                  <c:v>2017</c:v>
                </c:pt>
                <c:pt idx="1">
                  <c:v>2018</c:v>
                </c:pt>
                <c:pt idx="2">
                  <c:v>2019</c:v>
                </c:pt>
                <c:pt idx="3">
                  <c:v>2020</c:v>
                </c:pt>
              </c:numCache>
            </c:numRef>
          </c:cat>
          <c:val>
            <c:numRef>
              <c:f>'Types of Charts'!$J$5:$J$8</c:f>
              <c:numCache>
                <c:formatCode>_ * #,##0_ ;_ * \-#,##0_ ;_ * "-"??_ ;_ @_ </c:formatCode>
                <c:ptCount val="4"/>
                <c:pt idx="0">
                  <c:v>300</c:v>
                </c:pt>
                <c:pt idx="1">
                  <c:v>590</c:v>
                </c:pt>
                <c:pt idx="2">
                  <c:v>125</c:v>
                </c:pt>
                <c:pt idx="3">
                  <c:v>123</c:v>
                </c:pt>
              </c:numCache>
            </c:numRef>
          </c:val>
          <c:smooth val="0"/>
          <c:extLst>
            <c:ext xmlns:c16="http://schemas.microsoft.com/office/drawing/2014/chart" uri="{C3380CC4-5D6E-409C-BE32-E72D297353CC}">
              <c16:uniqueId val="{00000002-349C-477E-8E54-914445B77494}"/>
            </c:ext>
          </c:extLst>
        </c:ser>
        <c:ser>
          <c:idx val="3"/>
          <c:order val="3"/>
          <c:tx>
            <c:strRef>
              <c:f>'Types of Charts'!$K$4</c:f>
              <c:strCache>
                <c:ptCount val="1"/>
                <c:pt idx="0">
                  <c:v>Electrical Supplies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'Types of Charts'!$G$5:$G$8</c:f>
              <c:numCache>
                <c:formatCode>General</c:formatCode>
                <c:ptCount val="4"/>
                <c:pt idx="0">
                  <c:v>2017</c:v>
                </c:pt>
                <c:pt idx="1">
                  <c:v>2018</c:v>
                </c:pt>
                <c:pt idx="2">
                  <c:v>2019</c:v>
                </c:pt>
                <c:pt idx="3">
                  <c:v>2020</c:v>
                </c:pt>
              </c:numCache>
            </c:numRef>
          </c:cat>
          <c:val>
            <c:numRef>
              <c:f>'Types of Charts'!$K$5:$K$8</c:f>
              <c:numCache>
                <c:formatCode>_ * #,##0_ ;_ * \-#,##0_ ;_ * "-"??_ ;_ @_ </c:formatCode>
                <c:ptCount val="4"/>
                <c:pt idx="0">
                  <c:v>1800</c:v>
                </c:pt>
                <c:pt idx="1">
                  <c:v>1700</c:v>
                </c:pt>
                <c:pt idx="2">
                  <c:v>1900</c:v>
                </c:pt>
                <c:pt idx="3">
                  <c:v>2200</c:v>
                </c:pt>
              </c:numCache>
            </c:numRef>
          </c:val>
          <c:smooth val="0"/>
          <c:extLst>
            <c:ext xmlns:c16="http://schemas.microsoft.com/office/drawing/2014/chart" uri="{C3380CC4-5D6E-409C-BE32-E72D297353CC}">
              <c16:uniqueId val="{00000003-349C-477E-8E54-914445B77494}"/>
            </c:ext>
          </c:extLst>
        </c:ser>
        <c:ser>
          <c:idx val="4"/>
          <c:order val="4"/>
          <c:tx>
            <c:strRef>
              <c:f>'Types of Charts'!$L$4</c:f>
              <c:strCache>
                <c:ptCount val="1"/>
                <c:pt idx="0">
                  <c:v>Software</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cat>
            <c:numRef>
              <c:f>'Types of Charts'!$G$5:$G$8</c:f>
              <c:numCache>
                <c:formatCode>General</c:formatCode>
                <c:ptCount val="4"/>
                <c:pt idx="0">
                  <c:v>2017</c:v>
                </c:pt>
                <c:pt idx="1">
                  <c:v>2018</c:v>
                </c:pt>
                <c:pt idx="2">
                  <c:v>2019</c:v>
                </c:pt>
                <c:pt idx="3">
                  <c:v>2020</c:v>
                </c:pt>
              </c:numCache>
            </c:numRef>
          </c:cat>
          <c:val>
            <c:numRef>
              <c:f>'Types of Charts'!$L$5:$L$8</c:f>
              <c:numCache>
                <c:formatCode>_ * #,##0_ ;_ * \-#,##0_ ;_ * "-"??_ ;_ @_ </c:formatCode>
                <c:ptCount val="4"/>
                <c:pt idx="0">
                  <c:v>1200</c:v>
                </c:pt>
                <c:pt idx="1">
                  <c:v>500</c:v>
                </c:pt>
                <c:pt idx="2">
                  <c:v>900</c:v>
                </c:pt>
                <c:pt idx="3">
                  <c:v>1250</c:v>
                </c:pt>
              </c:numCache>
            </c:numRef>
          </c:val>
          <c:smooth val="0"/>
          <c:extLst>
            <c:ext xmlns:c16="http://schemas.microsoft.com/office/drawing/2014/chart" uri="{C3380CC4-5D6E-409C-BE32-E72D297353CC}">
              <c16:uniqueId val="{00000004-349C-477E-8E54-914445B77494}"/>
            </c:ext>
          </c:extLst>
        </c:ser>
        <c:ser>
          <c:idx val="5"/>
          <c:order val="5"/>
          <c:tx>
            <c:strRef>
              <c:f>'Types of Charts'!$M$4</c:f>
              <c:strCache>
                <c:ptCount val="1"/>
                <c:pt idx="0">
                  <c:v>Day Planners</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cat>
            <c:numRef>
              <c:f>'Types of Charts'!$G$5:$G$8</c:f>
              <c:numCache>
                <c:formatCode>General</c:formatCode>
                <c:ptCount val="4"/>
                <c:pt idx="0">
                  <c:v>2017</c:v>
                </c:pt>
                <c:pt idx="1">
                  <c:v>2018</c:v>
                </c:pt>
                <c:pt idx="2">
                  <c:v>2019</c:v>
                </c:pt>
                <c:pt idx="3">
                  <c:v>2020</c:v>
                </c:pt>
              </c:numCache>
            </c:numRef>
          </c:cat>
          <c:val>
            <c:numRef>
              <c:f>'Types of Charts'!$M$5:$M$8</c:f>
              <c:numCache>
                <c:formatCode>_ * #,##0_ ;_ * \-#,##0_ ;_ * "-"??_ ;_ @_ </c:formatCode>
                <c:ptCount val="4"/>
                <c:pt idx="0">
                  <c:v>900</c:v>
                </c:pt>
                <c:pt idx="1">
                  <c:v>800</c:v>
                </c:pt>
                <c:pt idx="2">
                  <c:v>800</c:v>
                </c:pt>
                <c:pt idx="3">
                  <c:v>900</c:v>
                </c:pt>
              </c:numCache>
            </c:numRef>
          </c:val>
          <c:smooth val="0"/>
          <c:extLst>
            <c:ext xmlns:c16="http://schemas.microsoft.com/office/drawing/2014/chart" uri="{C3380CC4-5D6E-409C-BE32-E72D297353CC}">
              <c16:uniqueId val="{00000005-349C-477E-8E54-914445B77494}"/>
            </c:ext>
          </c:extLst>
        </c:ser>
        <c:ser>
          <c:idx val="6"/>
          <c:order val="6"/>
          <c:tx>
            <c:strRef>
              <c:f>'Types of Charts'!$N$4</c:f>
              <c:strCache>
                <c:ptCount val="1"/>
                <c:pt idx="0">
                  <c:v>Health &amp; Safety</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none"/>
          </c:marker>
          <c:cat>
            <c:numRef>
              <c:f>'Types of Charts'!$G$5:$G$8</c:f>
              <c:numCache>
                <c:formatCode>General</c:formatCode>
                <c:ptCount val="4"/>
                <c:pt idx="0">
                  <c:v>2017</c:v>
                </c:pt>
                <c:pt idx="1">
                  <c:v>2018</c:v>
                </c:pt>
                <c:pt idx="2">
                  <c:v>2019</c:v>
                </c:pt>
                <c:pt idx="3">
                  <c:v>2020</c:v>
                </c:pt>
              </c:numCache>
            </c:numRef>
          </c:cat>
          <c:val>
            <c:numRef>
              <c:f>'Types of Charts'!$N$5:$N$8</c:f>
              <c:numCache>
                <c:formatCode>_ * #,##0_ ;_ * \-#,##0_ ;_ * "-"??_ ;_ @_ </c:formatCode>
                <c:ptCount val="4"/>
                <c:pt idx="0">
                  <c:v>400</c:v>
                </c:pt>
                <c:pt idx="1">
                  <c:v>300</c:v>
                </c:pt>
                <c:pt idx="2">
                  <c:v>200</c:v>
                </c:pt>
                <c:pt idx="3">
                  <c:v>200</c:v>
                </c:pt>
              </c:numCache>
            </c:numRef>
          </c:val>
          <c:smooth val="0"/>
          <c:extLst>
            <c:ext xmlns:c16="http://schemas.microsoft.com/office/drawing/2014/chart" uri="{C3380CC4-5D6E-409C-BE32-E72D297353CC}">
              <c16:uniqueId val="{00000006-349C-477E-8E54-914445B77494}"/>
            </c:ext>
          </c:extLst>
        </c:ser>
        <c:ser>
          <c:idx val="7"/>
          <c:order val="7"/>
          <c:tx>
            <c:strRef>
              <c:f>'Types of Charts'!$O$4</c:f>
              <c:strCache>
                <c:ptCount val="1"/>
                <c:pt idx="0">
                  <c:v>Productivity Tools</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none"/>
          </c:marker>
          <c:cat>
            <c:numRef>
              <c:f>'Types of Charts'!$G$5:$G$8</c:f>
              <c:numCache>
                <c:formatCode>General</c:formatCode>
                <c:ptCount val="4"/>
                <c:pt idx="0">
                  <c:v>2017</c:v>
                </c:pt>
                <c:pt idx="1">
                  <c:v>2018</c:v>
                </c:pt>
                <c:pt idx="2">
                  <c:v>2019</c:v>
                </c:pt>
                <c:pt idx="3">
                  <c:v>2020</c:v>
                </c:pt>
              </c:numCache>
            </c:numRef>
          </c:cat>
          <c:val>
            <c:numRef>
              <c:f>'Types of Charts'!$O$5:$O$8</c:f>
              <c:numCache>
                <c:formatCode>_ * #,##0_ ;_ * \-#,##0_ ;_ * "-"??_ ;_ @_ </c:formatCode>
                <c:ptCount val="4"/>
                <c:pt idx="0">
                  <c:v>32</c:v>
                </c:pt>
                <c:pt idx="1">
                  <c:v>25</c:v>
                </c:pt>
                <c:pt idx="2">
                  <c:v>75</c:v>
                </c:pt>
                <c:pt idx="3">
                  <c:v>80</c:v>
                </c:pt>
              </c:numCache>
            </c:numRef>
          </c:val>
          <c:smooth val="0"/>
          <c:extLst>
            <c:ext xmlns:c16="http://schemas.microsoft.com/office/drawing/2014/chart" uri="{C3380CC4-5D6E-409C-BE32-E72D297353CC}">
              <c16:uniqueId val="{00000007-349C-477E-8E54-914445B77494}"/>
            </c:ext>
          </c:extLst>
        </c:ser>
        <c:dLbls>
          <c:showLegendKey val="0"/>
          <c:showVal val="0"/>
          <c:showCatName val="0"/>
          <c:showSerName val="0"/>
          <c:showPercent val="0"/>
          <c:showBubbleSize val="0"/>
        </c:dLbls>
        <c:smooth val="0"/>
        <c:axId val="1526401760"/>
        <c:axId val="1364178320"/>
      </c:lineChart>
      <c:catAx>
        <c:axId val="15264017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4178320"/>
        <c:crosses val="autoZero"/>
        <c:auto val="1"/>
        <c:lblAlgn val="ctr"/>
        <c:lblOffset val="100"/>
        <c:noMultiLvlLbl val="0"/>
      </c:catAx>
      <c:valAx>
        <c:axId val="1364178320"/>
        <c:scaling>
          <c:orientation val="minMax"/>
        </c:scaling>
        <c:delete val="0"/>
        <c:axPos val="l"/>
        <c:majorGridlines>
          <c:spPr>
            <a:ln w="9525" cap="flat" cmpd="sng" algn="ctr">
              <a:solidFill>
                <a:schemeClr val="lt1">
                  <a:lumMod val="95000"/>
                  <a:alpha val="10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6401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Too many Items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areaChart>
        <c:grouping val="stacked"/>
        <c:varyColors val="0"/>
        <c:ser>
          <c:idx val="0"/>
          <c:order val="0"/>
          <c:tx>
            <c:strRef>
              <c:f>'Types of Charts'!$H$4</c:f>
              <c:strCache>
                <c:ptCount val="1"/>
                <c:pt idx="0">
                  <c:v>Computers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f>'Types of Charts'!$G$5:$G$8</c:f>
              <c:numCache>
                <c:formatCode>General</c:formatCode>
                <c:ptCount val="4"/>
                <c:pt idx="0">
                  <c:v>2017</c:v>
                </c:pt>
                <c:pt idx="1">
                  <c:v>2018</c:v>
                </c:pt>
                <c:pt idx="2">
                  <c:v>2019</c:v>
                </c:pt>
                <c:pt idx="3">
                  <c:v>2020</c:v>
                </c:pt>
              </c:numCache>
            </c:numRef>
          </c:cat>
          <c:val>
            <c:numRef>
              <c:f>'Types of Charts'!$H$5:$H$8</c:f>
              <c:numCache>
                <c:formatCode>_ * #,##0_ ;_ * \-#,##0_ ;_ * "-"??_ ;_ @_ </c:formatCode>
                <c:ptCount val="4"/>
                <c:pt idx="0">
                  <c:v>1400</c:v>
                </c:pt>
                <c:pt idx="1">
                  <c:v>2200</c:v>
                </c:pt>
                <c:pt idx="2">
                  <c:v>2100</c:v>
                </c:pt>
                <c:pt idx="3">
                  <c:v>3000</c:v>
                </c:pt>
              </c:numCache>
            </c:numRef>
          </c:val>
          <c:extLst>
            <c:ext xmlns:c16="http://schemas.microsoft.com/office/drawing/2014/chart" uri="{C3380CC4-5D6E-409C-BE32-E72D297353CC}">
              <c16:uniqueId val="{00000000-0847-412E-860C-384B573F6772}"/>
            </c:ext>
          </c:extLst>
        </c:ser>
        <c:ser>
          <c:idx val="1"/>
          <c:order val="1"/>
          <c:tx>
            <c:strRef>
              <c:f>'Types of Charts'!$I$4</c:f>
              <c:strCache>
                <c:ptCount val="1"/>
                <c:pt idx="0">
                  <c:v>Furniture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f>'Types of Charts'!$G$5:$G$8</c:f>
              <c:numCache>
                <c:formatCode>General</c:formatCode>
                <c:ptCount val="4"/>
                <c:pt idx="0">
                  <c:v>2017</c:v>
                </c:pt>
                <c:pt idx="1">
                  <c:v>2018</c:v>
                </c:pt>
                <c:pt idx="2">
                  <c:v>2019</c:v>
                </c:pt>
                <c:pt idx="3">
                  <c:v>2020</c:v>
                </c:pt>
              </c:numCache>
            </c:numRef>
          </c:cat>
          <c:val>
            <c:numRef>
              <c:f>'Types of Charts'!$I$5:$I$8</c:f>
              <c:numCache>
                <c:formatCode>_ * #,##0_ ;_ * \-#,##0_ ;_ * "-"??_ ;_ @_ </c:formatCode>
                <c:ptCount val="4"/>
                <c:pt idx="0">
                  <c:v>1200</c:v>
                </c:pt>
                <c:pt idx="1">
                  <c:v>1100</c:v>
                </c:pt>
                <c:pt idx="2">
                  <c:v>500</c:v>
                </c:pt>
                <c:pt idx="3">
                  <c:v>750</c:v>
                </c:pt>
              </c:numCache>
            </c:numRef>
          </c:val>
          <c:extLst>
            <c:ext xmlns:c16="http://schemas.microsoft.com/office/drawing/2014/chart" uri="{C3380CC4-5D6E-409C-BE32-E72D297353CC}">
              <c16:uniqueId val="{00000001-0847-412E-860C-384B573F6772}"/>
            </c:ext>
          </c:extLst>
        </c:ser>
        <c:ser>
          <c:idx val="2"/>
          <c:order val="2"/>
          <c:tx>
            <c:strRef>
              <c:f>'Types of Charts'!$J$4</c:f>
              <c:strCache>
                <c:ptCount val="1"/>
                <c:pt idx="0">
                  <c:v>Office Supplies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f>'Types of Charts'!$G$5:$G$8</c:f>
              <c:numCache>
                <c:formatCode>General</c:formatCode>
                <c:ptCount val="4"/>
                <c:pt idx="0">
                  <c:v>2017</c:v>
                </c:pt>
                <c:pt idx="1">
                  <c:v>2018</c:v>
                </c:pt>
                <c:pt idx="2">
                  <c:v>2019</c:v>
                </c:pt>
                <c:pt idx="3">
                  <c:v>2020</c:v>
                </c:pt>
              </c:numCache>
            </c:numRef>
          </c:cat>
          <c:val>
            <c:numRef>
              <c:f>'Types of Charts'!$J$5:$J$8</c:f>
              <c:numCache>
                <c:formatCode>_ * #,##0_ ;_ * \-#,##0_ ;_ * "-"??_ ;_ @_ </c:formatCode>
                <c:ptCount val="4"/>
                <c:pt idx="0">
                  <c:v>300</c:v>
                </c:pt>
                <c:pt idx="1">
                  <c:v>590</c:v>
                </c:pt>
                <c:pt idx="2">
                  <c:v>125</c:v>
                </c:pt>
                <c:pt idx="3">
                  <c:v>123</c:v>
                </c:pt>
              </c:numCache>
            </c:numRef>
          </c:val>
          <c:extLst>
            <c:ext xmlns:c16="http://schemas.microsoft.com/office/drawing/2014/chart" uri="{C3380CC4-5D6E-409C-BE32-E72D297353CC}">
              <c16:uniqueId val="{00000002-0847-412E-860C-384B573F6772}"/>
            </c:ext>
          </c:extLst>
        </c:ser>
        <c:ser>
          <c:idx val="3"/>
          <c:order val="3"/>
          <c:tx>
            <c:strRef>
              <c:f>'Types of Charts'!$K$4</c:f>
              <c:strCache>
                <c:ptCount val="1"/>
                <c:pt idx="0">
                  <c:v>Electrical Supplies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f>'Types of Charts'!$G$5:$G$8</c:f>
              <c:numCache>
                <c:formatCode>General</c:formatCode>
                <c:ptCount val="4"/>
                <c:pt idx="0">
                  <c:v>2017</c:v>
                </c:pt>
                <c:pt idx="1">
                  <c:v>2018</c:v>
                </c:pt>
                <c:pt idx="2">
                  <c:v>2019</c:v>
                </c:pt>
                <c:pt idx="3">
                  <c:v>2020</c:v>
                </c:pt>
              </c:numCache>
            </c:numRef>
          </c:cat>
          <c:val>
            <c:numRef>
              <c:f>'Types of Charts'!$K$5:$K$8</c:f>
              <c:numCache>
                <c:formatCode>_ * #,##0_ ;_ * \-#,##0_ ;_ * "-"??_ ;_ @_ </c:formatCode>
                <c:ptCount val="4"/>
                <c:pt idx="0">
                  <c:v>1800</c:v>
                </c:pt>
                <c:pt idx="1">
                  <c:v>1700</c:v>
                </c:pt>
                <c:pt idx="2">
                  <c:v>1900</c:v>
                </c:pt>
                <c:pt idx="3">
                  <c:v>2200</c:v>
                </c:pt>
              </c:numCache>
            </c:numRef>
          </c:val>
          <c:extLst>
            <c:ext xmlns:c16="http://schemas.microsoft.com/office/drawing/2014/chart" uri="{C3380CC4-5D6E-409C-BE32-E72D297353CC}">
              <c16:uniqueId val="{00000003-0847-412E-860C-384B573F6772}"/>
            </c:ext>
          </c:extLst>
        </c:ser>
        <c:ser>
          <c:idx val="4"/>
          <c:order val="4"/>
          <c:tx>
            <c:strRef>
              <c:f>'Types of Charts'!$L$4</c:f>
              <c:strCache>
                <c:ptCount val="1"/>
                <c:pt idx="0">
                  <c:v>Software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f>'Types of Charts'!$G$5:$G$8</c:f>
              <c:numCache>
                <c:formatCode>General</c:formatCode>
                <c:ptCount val="4"/>
                <c:pt idx="0">
                  <c:v>2017</c:v>
                </c:pt>
                <c:pt idx="1">
                  <c:v>2018</c:v>
                </c:pt>
                <c:pt idx="2">
                  <c:v>2019</c:v>
                </c:pt>
                <c:pt idx="3">
                  <c:v>2020</c:v>
                </c:pt>
              </c:numCache>
            </c:numRef>
          </c:cat>
          <c:val>
            <c:numRef>
              <c:f>'Types of Charts'!$L$5:$L$8</c:f>
              <c:numCache>
                <c:formatCode>_ * #,##0_ ;_ * \-#,##0_ ;_ * "-"??_ ;_ @_ </c:formatCode>
                <c:ptCount val="4"/>
                <c:pt idx="0">
                  <c:v>1200</c:v>
                </c:pt>
                <c:pt idx="1">
                  <c:v>500</c:v>
                </c:pt>
                <c:pt idx="2">
                  <c:v>900</c:v>
                </c:pt>
                <c:pt idx="3">
                  <c:v>1250</c:v>
                </c:pt>
              </c:numCache>
            </c:numRef>
          </c:val>
          <c:extLst>
            <c:ext xmlns:c16="http://schemas.microsoft.com/office/drawing/2014/chart" uri="{C3380CC4-5D6E-409C-BE32-E72D297353CC}">
              <c16:uniqueId val="{00000004-0847-412E-860C-384B573F6772}"/>
            </c:ext>
          </c:extLst>
        </c:ser>
        <c:ser>
          <c:idx val="5"/>
          <c:order val="5"/>
          <c:tx>
            <c:strRef>
              <c:f>'Types of Charts'!$M$4</c:f>
              <c:strCache>
                <c:ptCount val="1"/>
                <c:pt idx="0">
                  <c:v>Day Planners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f>'Types of Charts'!$G$5:$G$8</c:f>
              <c:numCache>
                <c:formatCode>General</c:formatCode>
                <c:ptCount val="4"/>
                <c:pt idx="0">
                  <c:v>2017</c:v>
                </c:pt>
                <c:pt idx="1">
                  <c:v>2018</c:v>
                </c:pt>
                <c:pt idx="2">
                  <c:v>2019</c:v>
                </c:pt>
                <c:pt idx="3">
                  <c:v>2020</c:v>
                </c:pt>
              </c:numCache>
            </c:numRef>
          </c:cat>
          <c:val>
            <c:numRef>
              <c:f>'Types of Charts'!$M$5:$M$8</c:f>
              <c:numCache>
                <c:formatCode>_ * #,##0_ ;_ * \-#,##0_ ;_ * "-"??_ ;_ @_ </c:formatCode>
                <c:ptCount val="4"/>
                <c:pt idx="0">
                  <c:v>900</c:v>
                </c:pt>
                <c:pt idx="1">
                  <c:v>800</c:v>
                </c:pt>
                <c:pt idx="2">
                  <c:v>800</c:v>
                </c:pt>
                <c:pt idx="3">
                  <c:v>900</c:v>
                </c:pt>
              </c:numCache>
            </c:numRef>
          </c:val>
          <c:extLst>
            <c:ext xmlns:c16="http://schemas.microsoft.com/office/drawing/2014/chart" uri="{C3380CC4-5D6E-409C-BE32-E72D297353CC}">
              <c16:uniqueId val="{00000005-0847-412E-860C-384B573F6772}"/>
            </c:ext>
          </c:extLst>
        </c:ser>
        <c:ser>
          <c:idx val="6"/>
          <c:order val="6"/>
          <c:tx>
            <c:strRef>
              <c:f>'Types of Charts'!$N$4</c:f>
              <c:strCache>
                <c:ptCount val="1"/>
                <c:pt idx="0">
                  <c:v>Health &amp; Safety</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f>'Types of Charts'!$G$5:$G$8</c:f>
              <c:numCache>
                <c:formatCode>General</c:formatCode>
                <c:ptCount val="4"/>
                <c:pt idx="0">
                  <c:v>2017</c:v>
                </c:pt>
                <c:pt idx="1">
                  <c:v>2018</c:v>
                </c:pt>
                <c:pt idx="2">
                  <c:v>2019</c:v>
                </c:pt>
                <c:pt idx="3">
                  <c:v>2020</c:v>
                </c:pt>
              </c:numCache>
            </c:numRef>
          </c:cat>
          <c:val>
            <c:numRef>
              <c:f>'Types of Charts'!$N$5:$N$8</c:f>
              <c:numCache>
                <c:formatCode>_ * #,##0_ ;_ * \-#,##0_ ;_ * "-"??_ ;_ @_ </c:formatCode>
                <c:ptCount val="4"/>
                <c:pt idx="0">
                  <c:v>400</c:v>
                </c:pt>
                <c:pt idx="1">
                  <c:v>300</c:v>
                </c:pt>
                <c:pt idx="2">
                  <c:v>200</c:v>
                </c:pt>
                <c:pt idx="3">
                  <c:v>200</c:v>
                </c:pt>
              </c:numCache>
            </c:numRef>
          </c:val>
          <c:extLst>
            <c:ext xmlns:c16="http://schemas.microsoft.com/office/drawing/2014/chart" uri="{C3380CC4-5D6E-409C-BE32-E72D297353CC}">
              <c16:uniqueId val="{00000006-0847-412E-860C-384B573F6772}"/>
            </c:ext>
          </c:extLst>
        </c:ser>
        <c:ser>
          <c:idx val="7"/>
          <c:order val="7"/>
          <c:tx>
            <c:strRef>
              <c:f>'Types of Charts'!$O$4</c:f>
              <c:strCache>
                <c:ptCount val="1"/>
                <c:pt idx="0">
                  <c:v>Productivity Tools</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f>'Types of Charts'!$G$5:$G$8</c:f>
              <c:numCache>
                <c:formatCode>General</c:formatCode>
                <c:ptCount val="4"/>
                <c:pt idx="0">
                  <c:v>2017</c:v>
                </c:pt>
                <c:pt idx="1">
                  <c:v>2018</c:v>
                </c:pt>
                <c:pt idx="2">
                  <c:v>2019</c:v>
                </c:pt>
                <c:pt idx="3">
                  <c:v>2020</c:v>
                </c:pt>
              </c:numCache>
            </c:numRef>
          </c:cat>
          <c:val>
            <c:numRef>
              <c:f>'Types of Charts'!$O$5:$O$8</c:f>
              <c:numCache>
                <c:formatCode>_ * #,##0_ ;_ * \-#,##0_ ;_ * "-"??_ ;_ @_ </c:formatCode>
                <c:ptCount val="4"/>
                <c:pt idx="0">
                  <c:v>32</c:v>
                </c:pt>
                <c:pt idx="1">
                  <c:v>25</c:v>
                </c:pt>
                <c:pt idx="2">
                  <c:v>75</c:v>
                </c:pt>
                <c:pt idx="3">
                  <c:v>80</c:v>
                </c:pt>
              </c:numCache>
            </c:numRef>
          </c:val>
          <c:extLst>
            <c:ext xmlns:c16="http://schemas.microsoft.com/office/drawing/2014/chart" uri="{C3380CC4-5D6E-409C-BE32-E72D297353CC}">
              <c16:uniqueId val="{00000007-0847-412E-860C-384B573F6772}"/>
            </c:ext>
          </c:extLst>
        </c:ser>
        <c:dLbls>
          <c:showLegendKey val="0"/>
          <c:showVal val="0"/>
          <c:showCatName val="0"/>
          <c:showSerName val="0"/>
          <c:showPercent val="0"/>
          <c:showBubbleSize val="0"/>
        </c:dLbls>
        <c:axId val="1352674496"/>
        <c:axId val="1352673664"/>
      </c:areaChart>
      <c:catAx>
        <c:axId val="135267449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2673664"/>
        <c:crosses val="autoZero"/>
        <c:auto val="1"/>
        <c:lblAlgn val="ctr"/>
        <c:lblOffset val="100"/>
        <c:noMultiLvlLbl val="0"/>
      </c:catAx>
      <c:valAx>
        <c:axId val="1352673664"/>
        <c:scaling>
          <c:orientation val="minMax"/>
        </c:scaling>
        <c:delete val="0"/>
        <c:axPos val="l"/>
        <c:majorGridlines>
          <c:spPr>
            <a:ln w="9525" cap="flat" cmpd="sng" algn="ctr">
              <a:solidFill>
                <a:schemeClr val="lt1">
                  <a:lumMod val="95000"/>
                  <a:alpha val="10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267449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Clustered</a:t>
            </a:r>
            <a:r>
              <a:rPr lang="en-IN" baseline="0"/>
              <a:t> Bar Chart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bar"/>
        <c:grouping val="clustered"/>
        <c:varyColors val="0"/>
        <c:ser>
          <c:idx val="0"/>
          <c:order val="0"/>
          <c:tx>
            <c:strRef>
              <c:f>'Types of Charts'!$F$31</c:f>
              <c:strCache>
                <c:ptCount val="1"/>
                <c:pt idx="0">
                  <c:v>US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'Types of Charts'!$G$30:$K$30</c:f>
              <c:strCache>
                <c:ptCount val="5"/>
                <c:pt idx="0">
                  <c:v>Jan</c:v>
                </c:pt>
                <c:pt idx="1">
                  <c:v>Feb</c:v>
                </c:pt>
                <c:pt idx="2">
                  <c:v>Mar</c:v>
                </c:pt>
                <c:pt idx="3">
                  <c:v>Apr</c:v>
                </c:pt>
                <c:pt idx="4">
                  <c:v>May</c:v>
                </c:pt>
              </c:strCache>
            </c:strRef>
          </c:cat>
          <c:val>
            <c:numRef>
              <c:f>'Types of Charts'!$G$31:$K$31</c:f>
              <c:numCache>
                <c:formatCode>_ * #,##0_ ;_ * \-#,##0_ ;_ * "-"??_ ;_ @_ </c:formatCode>
                <c:ptCount val="5"/>
                <c:pt idx="0">
                  <c:v>20000</c:v>
                </c:pt>
                <c:pt idx="1">
                  <c:v>22000</c:v>
                </c:pt>
                <c:pt idx="2">
                  <c:v>19000</c:v>
                </c:pt>
                <c:pt idx="3">
                  <c:v>23000</c:v>
                </c:pt>
                <c:pt idx="4">
                  <c:v>24000</c:v>
                </c:pt>
              </c:numCache>
            </c:numRef>
          </c:val>
          <c:extLst>
            <c:ext xmlns:c16="http://schemas.microsoft.com/office/drawing/2014/chart" uri="{C3380CC4-5D6E-409C-BE32-E72D297353CC}">
              <c16:uniqueId val="{00000000-A5C1-473C-8BC2-FA093E79FB58}"/>
            </c:ext>
          </c:extLst>
        </c:ser>
        <c:ser>
          <c:idx val="1"/>
          <c:order val="1"/>
          <c:tx>
            <c:strRef>
              <c:f>'Types of Charts'!$F$32</c:f>
              <c:strCache>
                <c:ptCount val="1"/>
                <c:pt idx="0">
                  <c:v>Europe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'Types of Charts'!$G$30:$K$30</c:f>
              <c:strCache>
                <c:ptCount val="5"/>
                <c:pt idx="0">
                  <c:v>Jan</c:v>
                </c:pt>
                <c:pt idx="1">
                  <c:v>Feb</c:v>
                </c:pt>
                <c:pt idx="2">
                  <c:v>Mar</c:v>
                </c:pt>
                <c:pt idx="3">
                  <c:v>Apr</c:v>
                </c:pt>
                <c:pt idx="4">
                  <c:v>May</c:v>
                </c:pt>
              </c:strCache>
            </c:strRef>
          </c:cat>
          <c:val>
            <c:numRef>
              <c:f>'Types of Charts'!$G$32:$K$32</c:f>
              <c:numCache>
                <c:formatCode>_ * #,##0_ ;_ * \-#,##0_ ;_ * "-"??_ ;_ @_ </c:formatCode>
                <c:ptCount val="5"/>
                <c:pt idx="0">
                  <c:v>14500</c:v>
                </c:pt>
                <c:pt idx="1">
                  <c:v>14600</c:v>
                </c:pt>
                <c:pt idx="2">
                  <c:v>14500</c:v>
                </c:pt>
                <c:pt idx="3">
                  <c:v>14450</c:v>
                </c:pt>
                <c:pt idx="4">
                  <c:v>16000</c:v>
                </c:pt>
              </c:numCache>
            </c:numRef>
          </c:val>
          <c:extLst>
            <c:ext xmlns:c16="http://schemas.microsoft.com/office/drawing/2014/chart" uri="{C3380CC4-5D6E-409C-BE32-E72D297353CC}">
              <c16:uniqueId val="{00000001-A5C1-473C-8BC2-FA093E79FB58}"/>
            </c:ext>
          </c:extLst>
        </c:ser>
        <c:ser>
          <c:idx val="2"/>
          <c:order val="2"/>
          <c:tx>
            <c:strRef>
              <c:f>'Types of Charts'!$F$33</c:f>
              <c:strCache>
                <c:ptCount val="1"/>
                <c:pt idx="0">
                  <c:v>Asia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'Types of Charts'!$G$30:$K$30</c:f>
              <c:strCache>
                <c:ptCount val="5"/>
                <c:pt idx="0">
                  <c:v>Jan</c:v>
                </c:pt>
                <c:pt idx="1">
                  <c:v>Feb</c:v>
                </c:pt>
                <c:pt idx="2">
                  <c:v>Mar</c:v>
                </c:pt>
                <c:pt idx="3">
                  <c:v>Apr</c:v>
                </c:pt>
                <c:pt idx="4">
                  <c:v>May</c:v>
                </c:pt>
              </c:strCache>
            </c:strRef>
          </c:cat>
          <c:val>
            <c:numRef>
              <c:f>'Types of Charts'!$G$33:$K$33</c:f>
              <c:numCache>
                <c:formatCode>_ * #,##0_ ;_ * \-#,##0_ ;_ * "-"??_ ;_ @_ </c:formatCode>
                <c:ptCount val="5"/>
                <c:pt idx="0">
                  <c:v>26000</c:v>
                </c:pt>
                <c:pt idx="1">
                  <c:v>17000</c:v>
                </c:pt>
                <c:pt idx="2">
                  <c:v>18000</c:v>
                </c:pt>
                <c:pt idx="3">
                  <c:v>28000</c:v>
                </c:pt>
                <c:pt idx="4">
                  <c:v>30000</c:v>
                </c:pt>
              </c:numCache>
            </c:numRef>
          </c:val>
          <c:extLst>
            <c:ext xmlns:c16="http://schemas.microsoft.com/office/drawing/2014/chart" uri="{C3380CC4-5D6E-409C-BE32-E72D297353CC}">
              <c16:uniqueId val="{00000002-A5C1-473C-8BC2-FA093E79FB58}"/>
            </c:ext>
          </c:extLst>
        </c:ser>
        <c:ser>
          <c:idx val="3"/>
          <c:order val="3"/>
          <c:tx>
            <c:strRef>
              <c:f>'Types of Charts'!$F$34</c:f>
              <c:strCache>
                <c:ptCount val="1"/>
                <c:pt idx="0">
                  <c:v>South America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'Types of Charts'!$G$30:$K$30</c:f>
              <c:strCache>
                <c:ptCount val="5"/>
                <c:pt idx="0">
                  <c:v>Jan</c:v>
                </c:pt>
                <c:pt idx="1">
                  <c:v>Feb</c:v>
                </c:pt>
                <c:pt idx="2">
                  <c:v>Mar</c:v>
                </c:pt>
                <c:pt idx="3">
                  <c:v>Apr</c:v>
                </c:pt>
                <c:pt idx="4">
                  <c:v>May</c:v>
                </c:pt>
              </c:strCache>
            </c:strRef>
          </c:cat>
          <c:val>
            <c:numRef>
              <c:f>'Types of Charts'!$G$34:$K$34</c:f>
              <c:numCache>
                <c:formatCode>_ * #,##0_ ;_ * \-#,##0_ ;_ * "-"??_ ;_ @_ </c:formatCode>
                <c:ptCount val="5"/>
                <c:pt idx="0">
                  <c:v>5000</c:v>
                </c:pt>
                <c:pt idx="1">
                  <c:v>3000</c:v>
                </c:pt>
                <c:pt idx="2">
                  <c:v>3500</c:v>
                </c:pt>
                <c:pt idx="3">
                  <c:v>6000</c:v>
                </c:pt>
                <c:pt idx="4">
                  <c:v>2000</c:v>
                </c:pt>
              </c:numCache>
            </c:numRef>
          </c:val>
          <c:extLst>
            <c:ext xmlns:c16="http://schemas.microsoft.com/office/drawing/2014/chart" uri="{C3380CC4-5D6E-409C-BE32-E72D297353CC}">
              <c16:uniqueId val="{00000003-A5C1-473C-8BC2-FA093E79FB58}"/>
            </c:ext>
          </c:extLst>
        </c:ser>
        <c:dLbls>
          <c:showLegendKey val="0"/>
          <c:showVal val="0"/>
          <c:showCatName val="0"/>
          <c:showSerName val="0"/>
          <c:showPercent val="0"/>
          <c:showBubbleSize val="0"/>
        </c:dLbls>
        <c:gapWidth val="115"/>
        <c:overlap val="-20"/>
        <c:axId val="1402788576"/>
        <c:axId val="1402789824"/>
      </c:barChart>
      <c:catAx>
        <c:axId val="14027885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2789824"/>
        <c:crosses val="autoZero"/>
        <c:auto val="1"/>
        <c:lblAlgn val="ctr"/>
        <c:lblOffset val="100"/>
        <c:noMultiLvlLbl val="0"/>
      </c:catAx>
      <c:valAx>
        <c:axId val="1402789824"/>
        <c:scaling>
          <c:orientation val="minMax"/>
        </c:scaling>
        <c:delete val="0"/>
        <c:axPos val="b"/>
        <c:majorGridlines>
          <c:spPr>
            <a:ln w="9525" cap="flat" cmpd="sng" algn="ctr">
              <a:solidFill>
                <a:schemeClr val="lt1">
                  <a:lumMod val="95000"/>
                  <a:alpha val="10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2788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Stacked Bar Charts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'Types of Charts'!$F$31</c:f>
              <c:strCache>
                <c:ptCount val="1"/>
                <c:pt idx="0">
                  <c:v>US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'Types of Charts'!$G$30:$K$30</c:f>
              <c:strCache>
                <c:ptCount val="5"/>
                <c:pt idx="0">
                  <c:v>Jan</c:v>
                </c:pt>
                <c:pt idx="1">
                  <c:v>Feb</c:v>
                </c:pt>
                <c:pt idx="2">
                  <c:v>Mar</c:v>
                </c:pt>
                <c:pt idx="3">
                  <c:v>Apr</c:v>
                </c:pt>
                <c:pt idx="4">
                  <c:v>May</c:v>
                </c:pt>
              </c:strCache>
            </c:strRef>
          </c:cat>
          <c:val>
            <c:numRef>
              <c:f>'Types of Charts'!$G$31:$K$31</c:f>
              <c:numCache>
                <c:formatCode>_ * #,##0_ ;_ * \-#,##0_ ;_ * "-"??_ ;_ @_ </c:formatCode>
                <c:ptCount val="5"/>
                <c:pt idx="0">
                  <c:v>20000</c:v>
                </c:pt>
                <c:pt idx="1">
                  <c:v>22000</c:v>
                </c:pt>
                <c:pt idx="2">
                  <c:v>19000</c:v>
                </c:pt>
                <c:pt idx="3">
                  <c:v>23000</c:v>
                </c:pt>
                <c:pt idx="4">
                  <c:v>24000</c:v>
                </c:pt>
              </c:numCache>
            </c:numRef>
          </c:val>
          <c:extLst>
            <c:ext xmlns:c16="http://schemas.microsoft.com/office/drawing/2014/chart" uri="{C3380CC4-5D6E-409C-BE32-E72D297353CC}">
              <c16:uniqueId val="{00000000-9772-47B8-9C47-81FF2B893535}"/>
            </c:ext>
          </c:extLst>
        </c:ser>
        <c:ser>
          <c:idx val="1"/>
          <c:order val="1"/>
          <c:tx>
            <c:strRef>
              <c:f>'Types of Charts'!$F$32</c:f>
              <c:strCache>
                <c:ptCount val="1"/>
                <c:pt idx="0">
                  <c:v>Europe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'Types of Charts'!$G$30:$K$30</c:f>
              <c:strCache>
                <c:ptCount val="5"/>
                <c:pt idx="0">
                  <c:v>Jan</c:v>
                </c:pt>
                <c:pt idx="1">
                  <c:v>Feb</c:v>
                </c:pt>
                <c:pt idx="2">
                  <c:v>Mar</c:v>
                </c:pt>
                <c:pt idx="3">
                  <c:v>Apr</c:v>
                </c:pt>
                <c:pt idx="4">
                  <c:v>May</c:v>
                </c:pt>
              </c:strCache>
            </c:strRef>
          </c:cat>
          <c:val>
            <c:numRef>
              <c:f>'Types of Charts'!$G$32:$K$32</c:f>
              <c:numCache>
                <c:formatCode>_ * #,##0_ ;_ * \-#,##0_ ;_ * "-"??_ ;_ @_ </c:formatCode>
                <c:ptCount val="5"/>
                <c:pt idx="0">
                  <c:v>14500</c:v>
                </c:pt>
                <c:pt idx="1">
                  <c:v>14600</c:v>
                </c:pt>
                <c:pt idx="2">
                  <c:v>14500</c:v>
                </c:pt>
                <c:pt idx="3">
                  <c:v>14450</c:v>
                </c:pt>
                <c:pt idx="4">
                  <c:v>16000</c:v>
                </c:pt>
              </c:numCache>
            </c:numRef>
          </c:val>
          <c:extLst>
            <c:ext xmlns:c16="http://schemas.microsoft.com/office/drawing/2014/chart" uri="{C3380CC4-5D6E-409C-BE32-E72D297353CC}">
              <c16:uniqueId val="{00000001-9772-47B8-9C47-81FF2B893535}"/>
            </c:ext>
          </c:extLst>
        </c:ser>
        <c:ser>
          <c:idx val="2"/>
          <c:order val="2"/>
          <c:tx>
            <c:strRef>
              <c:f>'Types of Charts'!$F$33</c:f>
              <c:strCache>
                <c:ptCount val="1"/>
                <c:pt idx="0">
                  <c:v>Asia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'Types of Charts'!$G$30:$K$30</c:f>
              <c:strCache>
                <c:ptCount val="5"/>
                <c:pt idx="0">
                  <c:v>Jan</c:v>
                </c:pt>
                <c:pt idx="1">
                  <c:v>Feb</c:v>
                </c:pt>
                <c:pt idx="2">
                  <c:v>Mar</c:v>
                </c:pt>
                <c:pt idx="3">
                  <c:v>Apr</c:v>
                </c:pt>
                <c:pt idx="4">
                  <c:v>May</c:v>
                </c:pt>
              </c:strCache>
            </c:strRef>
          </c:cat>
          <c:val>
            <c:numRef>
              <c:f>'Types of Charts'!$G$33:$K$33</c:f>
              <c:numCache>
                <c:formatCode>_ * #,##0_ ;_ * \-#,##0_ ;_ * "-"??_ ;_ @_ </c:formatCode>
                <c:ptCount val="5"/>
                <c:pt idx="0">
                  <c:v>26000</c:v>
                </c:pt>
                <c:pt idx="1">
                  <c:v>17000</c:v>
                </c:pt>
                <c:pt idx="2">
                  <c:v>18000</c:v>
                </c:pt>
                <c:pt idx="3">
                  <c:v>28000</c:v>
                </c:pt>
                <c:pt idx="4">
                  <c:v>30000</c:v>
                </c:pt>
              </c:numCache>
            </c:numRef>
          </c:val>
          <c:extLst>
            <c:ext xmlns:c16="http://schemas.microsoft.com/office/drawing/2014/chart" uri="{C3380CC4-5D6E-409C-BE32-E72D297353CC}">
              <c16:uniqueId val="{00000002-9772-47B8-9C47-81FF2B893535}"/>
            </c:ext>
          </c:extLst>
        </c:ser>
        <c:ser>
          <c:idx val="3"/>
          <c:order val="3"/>
          <c:tx>
            <c:strRef>
              <c:f>'Types of Charts'!$F$34</c:f>
              <c:strCache>
                <c:ptCount val="1"/>
                <c:pt idx="0">
                  <c:v>South America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'Types of Charts'!$G$30:$K$30</c:f>
              <c:strCache>
                <c:ptCount val="5"/>
                <c:pt idx="0">
                  <c:v>Jan</c:v>
                </c:pt>
                <c:pt idx="1">
                  <c:v>Feb</c:v>
                </c:pt>
                <c:pt idx="2">
                  <c:v>Mar</c:v>
                </c:pt>
                <c:pt idx="3">
                  <c:v>Apr</c:v>
                </c:pt>
                <c:pt idx="4">
                  <c:v>May</c:v>
                </c:pt>
              </c:strCache>
            </c:strRef>
          </c:cat>
          <c:val>
            <c:numRef>
              <c:f>'Types of Charts'!$G$34:$K$34</c:f>
              <c:numCache>
                <c:formatCode>_ * #,##0_ ;_ * \-#,##0_ ;_ * "-"??_ ;_ @_ </c:formatCode>
                <c:ptCount val="5"/>
                <c:pt idx="0">
                  <c:v>5000</c:v>
                </c:pt>
                <c:pt idx="1">
                  <c:v>3000</c:v>
                </c:pt>
                <c:pt idx="2">
                  <c:v>3500</c:v>
                </c:pt>
                <c:pt idx="3">
                  <c:v>6000</c:v>
                </c:pt>
                <c:pt idx="4">
                  <c:v>2000</c:v>
                </c:pt>
              </c:numCache>
            </c:numRef>
          </c:val>
          <c:extLst>
            <c:ext xmlns:c16="http://schemas.microsoft.com/office/drawing/2014/chart" uri="{C3380CC4-5D6E-409C-BE32-E72D297353CC}">
              <c16:uniqueId val="{00000003-9772-47B8-9C47-81FF2B893535}"/>
            </c:ext>
          </c:extLst>
        </c:ser>
        <c:dLbls>
          <c:dLblPos val="ctr"/>
          <c:showLegendKey val="0"/>
          <c:showVal val="1"/>
          <c:showCatName val="0"/>
          <c:showSerName val="0"/>
          <c:showPercent val="0"/>
          <c:showBubbleSize val="0"/>
        </c:dLbls>
        <c:gapWidth val="150"/>
        <c:overlap val="100"/>
        <c:axId val="1740963328"/>
        <c:axId val="1740970400"/>
      </c:barChart>
      <c:catAx>
        <c:axId val="174096332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970400"/>
        <c:crosses val="autoZero"/>
        <c:auto val="1"/>
        <c:lblAlgn val="ctr"/>
        <c:lblOffset val="100"/>
        <c:noMultiLvlLbl val="0"/>
      </c:catAx>
      <c:valAx>
        <c:axId val="1740970400"/>
        <c:scaling>
          <c:orientation val="minMax"/>
        </c:scaling>
        <c:delete val="0"/>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963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100% Stached Bar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'Types of Charts'!$F$31</c:f>
              <c:strCache>
                <c:ptCount val="1"/>
                <c:pt idx="0">
                  <c:v>US</c:v>
                </c:pt>
              </c:strCache>
            </c:strRef>
          </c:tx>
          <c:spPr>
            <a:solidFill>
              <a:schemeClr val="accent1"/>
            </a:solidFill>
            <a:ln>
              <a:noFill/>
            </a:ln>
            <a:effectLst/>
          </c:spPr>
          <c:invertIfNegative val="0"/>
          <c:cat>
            <c:strRef>
              <c:f>'Types of Charts'!$G$30:$K$30</c:f>
              <c:strCache>
                <c:ptCount val="5"/>
                <c:pt idx="0">
                  <c:v>Jan</c:v>
                </c:pt>
                <c:pt idx="1">
                  <c:v>Feb</c:v>
                </c:pt>
                <c:pt idx="2">
                  <c:v>Mar</c:v>
                </c:pt>
                <c:pt idx="3">
                  <c:v>Apr</c:v>
                </c:pt>
                <c:pt idx="4">
                  <c:v>May</c:v>
                </c:pt>
              </c:strCache>
            </c:strRef>
          </c:cat>
          <c:val>
            <c:numRef>
              <c:f>'Types of Charts'!$G$31:$K$31</c:f>
              <c:numCache>
                <c:formatCode>_ * #,##0_ ;_ * \-#,##0_ ;_ * "-"??_ ;_ @_ </c:formatCode>
                <c:ptCount val="5"/>
                <c:pt idx="0">
                  <c:v>20000</c:v>
                </c:pt>
                <c:pt idx="1">
                  <c:v>22000</c:v>
                </c:pt>
                <c:pt idx="2">
                  <c:v>19000</c:v>
                </c:pt>
                <c:pt idx="3">
                  <c:v>23000</c:v>
                </c:pt>
                <c:pt idx="4">
                  <c:v>24000</c:v>
                </c:pt>
              </c:numCache>
            </c:numRef>
          </c:val>
          <c:extLst>
            <c:ext xmlns:c16="http://schemas.microsoft.com/office/drawing/2014/chart" uri="{C3380CC4-5D6E-409C-BE32-E72D297353CC}">
              <c16:uniqueId val="{00000000-281A-4438-8C8E-9D40A837325C}"/>
            </c:ext>
          </c:extLst>
        </c:ser>
        <c:ser>
          <c:idx val="1"/>
          <c:order val="1"/>
          <c:tx>
            <c:strRef>
              <c:f>'Types of Charts'!$F$32</c:f>
              <c:strCache>
                <c:ptCount val="1"/>
                <c:pt idx="0">
                  <c:v>Europe</c:v>
                </c:pt>
              </c:strCache>
            </c:strRef>
          </c:tx>
          <c:spPr>
            <a:solidFill>
              <a:schemeClr val="accent2"/>
            </a:solidFill>
            <a:ln>
              <a:noFill/>
            </a:ln>
            <a:effectLst/>
          </c:spPr>
          <c:invertIfNegative val="0"/>
          <c:cat>
            <c:strRef>
              <c:f>'Types of Charts'!$G$30:$K$30</c:f>
              <c:strCache>
                <c:ptCount val="5"/>
                <c:pt idx="0">
                  <c:v>Jan</c:v>
                </c:pt>
                <c:pt idx="1">
                  <c:v>Feb</c:v>
                </c:pt>
                <c:pt idx="2">
                  <c:v>Mar</c:v>
                </c:pt>
                <c:pt idx="3">
                  <c:v>Apr</c:v>
                </c:pt>
                <c:pt idx="4">
                  <c:v>May</c:v>
                </c:pt>
              </c:strCache>
            </c:strRef>
          </c:cat>
          <c:val>
            <c:numRef>
              <c:f>'Types of Charts'!$G$32:$K$32</c:f>
              <c:numCache>
                <c:formatCode>_ * #,##0_ ;_ * \-#,##0_ ;_ * "-"??_ ;_ @_ </c:formatCode>
                <c:ptCount val="5"/>
                <c:pt idx="0">
                  <c:v>14500</c:v>
                </c:pt>
                <c:pt idx="1">
                  <c:v>14600</c:v>
                </c:pt>
                <c:pt idx="2">
                  <c:v>14500</c:v>
                </c:pt>
                <c:pt idx="3">
                  <c:v>14450</c:v>
                </c:pt>
                <c:pt idx="4">
                  <c:v>16000</c:v>
                </c:pt>
              </c:numCache>
            </c:numRef>
          </c:val>
          <c:extLst>
            <c:ext xmlns:c16="http://schemas.microsoft.com/office/drawing/2014/chart" uri="{C3380CC4-5D6E-409C-BE32-E72D297353CC}">
              <c16:uniqueId val="{00000001-281A-4438-8C8E-9D40A837325C}"/>
            </c:ext>
          </c:extLst>
        </c:ser>
        <c:ser>
          <c:idx val="2"/>
          <c:order val="2"/>
          <c:tx>
            <c:strRef>
              <c:f>'Types of Charts'!$F$33</c:f>
              <c:strCache>
                <c:ptCount val="1"/>
                <c:pt idx="0">
                  <c:v>Asia</c:v>
                </c:pt>
              </c:strCache>
            </c:strRef>
          </c:tx>
          <c:spPr>
            <a:solidFill>
              <a:schemeClr val="accent3"/>
            </a:solidFill>
            <a:ln>
              <a:noFill/>
            </a:ln>
            <a:effectLst/>
          </c:spPr>
          <c:invertIfNegative val="0"/>
          <c:cat>
            <c:strRef>
              <c:f>'Types of Charts'!$G$30:$K$30</c:f>
              <c:strCache>
                <c:ptCount val="5"/>
                <c:pt idx="0">
                  <c:v>Jan</c:v>
                </c:pt>
                <c:pt idx="1">
                  <c:v>Feb</c:v>
                </c:pt>
                <c:pt idx="2">
                  <c:v>Mar</c:v>
                </c:pt>
                <c:pt idx="3">
                  <c:v>Apr</c:v>
                </c:pt>
                <c:pt idx="4">
                  <c:v>May</c:v>
                </c:pt>
              </c:strCache>
            </c:strRef>
          </c:cat>
          <c:val>
            <c:numRef>
              <c:f>'Types of Charts'!$G$33:$K$33</c:f>
              <c:numCache>
                <c:formatCode>_ * #,##0_ ;_ * \-#,##0_ ;_ * "-"??_ ;_ @_ </c:formatCode>
                <c:ptCount val="5"/>
                <c:pt idx="0">
                  <c:v>26000</c:v>
                </c:pt>
                <c:pt idx="1">
                  <c:v>17000</c:v>
                </c:pt>
                <c:pt idx="2">
                  <c:v>18000</c:v>
                </c:pt>
                <c:pt idx="3">
                  <c:v>28000</c:v>
                </c:pt>
                <c:pt idx="4">
                  <c:v>30000</c:v>
                </c:pt>
              </c:numCache>
            </c:numRef>
          </c:val>
          <c:extLst>
            <c:ext xmlns:c16="http://schemas.microsoft.com/office/drawing/2014/chart" uri="{C3380CC4-5D6E-409C-BE32-E72D297353CC}">
              <c16:uniqueId val="{00000002-281A-4438-8C8E-9D40A837325C}"/>
            </c:ext>
          </c:extLst>
        </c:ser>
        <c:ser>
          <c:idx val="3"/>
          <c:order val="3"/>
          <c:tx>
            <c:strRef>
              <c:f>'Types of Charts'!$F$34</c:f>
              <c:strCache>
                <c:ptCount val="1"/>
                <c:pt idx="0">
                  <c:v>South America</c:v>
                </c:pt>
              </c:strCache>
            </c:strRef>
          </c:tx>
          <c:spPr>
            <a:solidFill>
              <a:schemeClr val="accent4"/>
            </a:solidFill>
            <a:ln>
              <a:noFill/>
            </a:ln>
            <a:effectLst/>
          </c:spPr>
          <c:invertIfNegative val="0"/>
          <c:cat>
            <c:strRef>
              <c:f>'Types of Charts'!$G$30:$K$30</c:f>
              <c:strCache>
                <c:ptCount val="5"/>
                <c:pt idx="0">
                  <c:v>Jan</c:v>
                </c:pt>
                <c:pt idx="1">
                  <c:v>Feb</c:v>
                </c:pt>
                <c:pt idx="2">
                  <c:v>Mar</c:v>
                </c:pt>
                <c:pt idx="3">
                  <c:v>Apr</c:v>
                </c:pt>
                <c:pt idx="4">
                  <c:v>May</c:v>
                </c:pt>
              </c:strCache>
            </c:strRef>
          </c:cat>
          <c:val>
            <c:numRef>
              <c:f>'Types of Charts'!$G$34:$K$34</c:f>
              <c:numCache>
                <c:formatCode>_ * #,##0_ ;_ * \-#,##0_ ;_ * "-"??_ ;_ @_ </c:formatCode>
                <c:ptCount val="5"/>
                <c:pt idx="0">
                  <c:v>5000</c:v>
                </c:pt>
                <c:pt idx="1">
                  <c:v>3000</c:v>
                </c:pt>
                <c:pt idx="2">
                  <c:v>3500</c:v>
                </c:pt>
                <c:pt idx="3">
                  <c:v>6000</c:v>
                </c:pt>
                <c:pt idx="4">
                  <c:v>2000</c:v>
                </c:pt>
              </c:numCache>
            </c:numRef>
          </c:val>
          <c:extLst>
            <c:ext xmlns:c16="http://schemas.microsoft.com/office/drawing/2014/chart" uri="{C3380CC4-5D6E-409C-BE32-E72D297353CC}">
              <c16:uniqueId val="{00000003-281A-4438-8C8E-9D40A837325C}"/>
            </c:ext>
          </c:extLst>
        </c:ser>
        <c:dLbls>
          <c:showLegendKey val="0"/>
          <c:showVal val="0"/>
          <c:showCatName val="0"/>
          <c:showSerName val="0"/>
          <c:showPercent val="0"/>
          <c:showBubbleSize val="0"/>
        </c:dLbls>
        <c:gapWidth val="150"/>
        <c:overlap val="100"/>
        <c:axId val="1353231456"/>
        <c:axId val="1353231872"/>
      </c:barChart>
      <c:catAx>
        <c:axId val="1353231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231872"/>
        <c:crosses val="autoZero"/>
        <c:auto val="1"/>
        <c:lblAlgn val="ctr"/>
        <c:lblOffset val="100"/>
        <c:noMultiLvlLbl val="0"/>
      </c:catAx>
      <c:valAx>
        <c:axId val="13532318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231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Daily Stock Returns Comparison </a:t>
            </a:r>
            <a:br>
              <a:rPr lang="en-US" sz="1800" b="0" i="0" baseline="0">
                <a:effectLst/>
              </a:rPr>
            </a:br>
            <a:r>
              <a:rPr lang="en-US" sz="1800" b="0" i="0" baseline="0">
                <a:effectLst/>
              </a:rPr>
              <a:t>Stock 1 vs Stock 2</a:t>
            </a:r>
            <a:endParaRPr lang="en-IN">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stacked"/>
        <c:varyColors val="0"/>
        <c:ser>
          <c:idx val="0"/>
          <c:order val="0"/>
          <c:tx>
            <c:strRef>
              <c:f>'Types of Charts'!$C$53</c:f>
              <c:strCache>
                <c:ptCount val="1"/>
                <c:pt idx="0">
                  <c:v>Stock 1</c:v>
                </c:pt>
              </c:strCache>
            </c:strRef>
          </c:tx>
          <c:spPr>
            <a:solidFill>
              <a:schemeClr val="accent1"/>
            </a:solidFill>
            <a:ln>
              <a:noFill/>
            </a:ln>
            <a:effectLst/>
          </c:spPr>
          <c:invertIfNegative val="0"/>
          <c:cat>
            <c:numRef>
              <c:f>'Types of Charts'!$B$54:$B$784</c:f>
              <c:numCache>
                <c:formatCode>m/d/yyyy</c:formatCode>
                <c:ptCount val="7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pt idx="31">
                  <c:v>42401</c:v>
                </c:pt>
                <c:pt idx="32">
                  <c:v>42402</c:v>
                </c:pt>
                <c:pt idx="33">
                  <c:v>42403</c:v>
                </c:pt>
                <c:pt idx="34">
                  <c:v>42404</c:v>
                </c:pt>
                <c:pt idx="35">
                  <c:v>42405</c:v>
                </c:pt>
                <c:pt idx="36">
                  <c:v>42406</c:v>
                </c:pt>
                <c:pt idx="37">
                  <c:v>42407</c:v>
                </c:pt>
                <c:pt idx="38">
                  <c:v>42408</c:v>
                </c:pt>
                <c:pt idx="39">
                  <c:v>42409</c:v>
                </c:pt>
                <c:pt idx="40">
                  <c:v>42410</c:v>
                </c:pt>
                <c:pt idx="41">
                  <c:v>42411</c:v>
                </c:pt>
                <c:pt idx="42">
                  <c:v>42412</c:v>
                </c:pt>
                <c:pt idx="43">
                  <c:v>42413</c:v>
                </c:pt>
                <c:pt idx="44">
                  <c:v>42414</c:v>
                </c:pt>
                <c:pt idx="45">
                  <c:v>42415</c:v>
                </c:pt>
                <c:pt idx="46">
                  <c:v>42416</c:v>
                </c:pt>
                <c:pt idx="47">
                  <c:v>42417</c:v>
                </c:pt>
                <c:pt idx="48">
                  <c:v>42418</c:v>
                </c:pt>
                <c:pt idx="49">
                  <c:v>42419</c:v>
                </c:pt>
                <c:pt idx="50">
                  <c:v>42420</c:v>
                </c:pt>
                <c:pt idx="51">
                  <c:v>42421</c:v>
                </c:pt>
                <c:pt idx="52">
                  <c:v>42422</c:v>
                </c:pt>
                <c:pt idx="53">
                  <c:v>42423</c:v>
                </c:pt>
                <c:pt idx="54">
                  <c:v>42424</c:v>
                </c:pt>
                <c:pt idx="55">
                  <c:v>42425</c:v>
                </c:pt>
                <c:pt idx="56">
                  <c:v>42426</c:v>
                </c:pt>
                <c:pt idx="57">
                  <c:v>42427</c:v>
                </c:pt>
                <c:pt idx="58">
                  <c:v>42428</c:v>
                </c:pt>
                <c:pt idx="59">
                  <c:v>42429</c:v>
                </c:pt>
                <c:pt idx="60">
                  <c:v>42430</c:v>
                </c:pt>
                <c:pt idx="61">
                  <c:v>42431</c:v>
                </c:pt>
                <c:pt idx="62">
                  <c:v>42432</c:v>
                </c:pt>
                <c:pt idx="63">
                  <c:v>42433</c:v>
                </c:pt>
                <c:pt idx="64">
                  <c:v>42434</c:v>
                </c:pt>
                <c:pt idx="65">
                  <c:v>42435</c:v>
                </c:pt>
                <c:pt idx="66">
                  <c:v>42436</c:v>
                </c:pt>
                <c:pt idx="67">
                  <c:v>42437</c:v>
                </c:pt>
                <c:pt idx="68">
                  <c:v>42438</c:v>
                </c:pt>
                <c:pt idx="69">
                  <c:v>42439</c:v>
                </c:pt>
                <c:pt idx="70">
                  <c:v>42440</c:v>
                </c:pt>
                <c:pt idx="71">
                  <c:v>42441</c:v>
                </c:pt>
                <c:pt idx="72">
                  <c:v>42442</c:v>
                </c:pt>
                <c:pt idx="73">
                  <c:v>42443</c:v>
                </c:pt>
                <c:pt idx="74">
                  <c:v>42444</c:v>
                </c:pt>
                <c:pt idx="75">
                  <c:v>42445</c:v>
                </c:pt>
                <c:pt idx="76">
                  <c:v>42446</c:v>
                </c:pt>
                <c:pt idx="77">
                  <c:v>42447</c:v>
                </c:pt>
                <c:pt idx="78">
                  <c:v>42448</c:v>
                </c:pt>
                <c:pt idx="79">
                  <c:v>42449</c:v>
                </c:pt>
                <c:pt idx="80">
                  <c:v>42450</c:v>
                </c:pt>
                <c:pt idx="81">
                  <c:v>42451</c:v>
                </c:pt>
                <c:pt idx="82">
                  <c:v>42452</c:v>
                </c:pt>
                <c:pt idx="83">
                  <c:v>42453</c:v>
                </c:pt>
                <c:pt idx="84">
                  <c:v>42454</c:v>
                </c:pt>
                <c:pt idx="85">
                  <c:v>42455</c:v>
                </c:pt>
                <c:pt idx="86">
                  <c:v>42456</c:v>
                </c:pt>
                <c:pt idx="87">
                  <c:v>42457</c:v>
                </c:pt>
                <c:pt idx="88">
                  <c:v>42458</c:v>
                </c:pt>
                <c:pt idx="89">
                  <c:v>42459</c:v>
                </c:pt>
                <c:pt idx="90">
                  <c:v>42460</c:v>
                </c:pt>
                <c:pt idx="91">
                  <c:v>42461</c:v>
                </c:pt>
                <c:pt idx="92">
                  <c:v>42462</c:v>
                </c:pt>
                <c:pt idx="93">
                  <c:v>42463</c:v>
                </c:pt>
                <c:pt idx="94">
                  <c:v>42464</c:v>
                </c:pt>
                <c:pt idx="95">
                  <c:v>42465</c:v>
                </c:pt>
                <c:pt idx="96">
                  <c:v>42466</c:v>
                </c:pt>
                <c:pt idx="97">
                  <c:v>42467</c:v>
                </c:pt>
                <c:pt idx="98">
                  <c:v>42468</c:v>
                </c:pt>
                <c:pt idx="99">
                  <c:v>42469</c:v>
                </c:pt>
                <c:pt idx="100">
                  <c:v>42470</c:v>
                </c:pt>
                <c:pt idx="101">
                  <c:v>42471</c:v>
                </c:pt>
                <c:pt idx="102">
                  <c:v>42472</c:v>
                </c:pt>
                <c:pt idx="103">
                  <c:v>42473</c:v>
                </c:pt>
                <c:pt idx="104">
                  <c:v>42474</c:v>
                </c:pt>
                <c:pt idx="105">
                  <c:v>42475</c:v>
                </c:pt>
                <c:pt idx="106">
                  <c:v>42476</c:v>
                </c:pt>
                <c:pt idx="107">
                  <c:v>42477</c:v>
                </c:pt>
                <c:pt idx="108">
                  <c:v>42478</c:v>
                </c:pt>
                <c:pt idx="109">
                  <c:v>42479</c:v>
                </c:pt>
                <c:pt idx="110">
                  <c:v>42480</c:v>
                </c:pt>
                <c:pt idx="111">
                  <c:v>42481</c:v>
                </c:pt>
                <c:pt idx="112">
                  <c:v>42482</c:v>
                </c:pt>
                <c:pt idx="113">
                  <c:v>42483</c:v>
                </c:pt>
                <c:pt idx="114">
                  <c:v>42484</c:v>
                </c:pt>
                <c:pt idx="115">
                  <c:v>42485</c:v>
                </c:pt>
                <c:pt idx="116">
                  <c:v>42486</c:v>
                </c:pt>
                <c:pt idx="117">
                  <c:v>42487</c:v>
                </c:pt>
                <c:pt idx="118">
                  <c:v>42488</c:v>
                </c:pt>
                <c:pt idx="119">
                  <c:v>42489</c:v>
                </c:pt>
                <c:pt idx="120">
                  <c:v>42490</c:v>
                </c:pt>
                <c:pt idx="121">
                  <c:v>42491</c:v>
                </c:pt>
                <c:pt idx="122">
                  <c:v>42492</c:v>
                </c:pt>
                <c:pt idx="123">
                  <c:v>42493</c:v>
                </c:pt>
                <c:pt idx="124">
                  <c:v>42494</c:v>
                </c:pt>
                <c:pt idx="125">
                  <c:v>42495</c:v>
                </c:pt>
                <c:pt idx="126">
                  <c:v>42496</c:v>
                </c:pt>
                <c:pt idx="127">
                  <c:v>42497</c:v>
                </c:pt>
                <c:pt idx="128">
                  <c:v>42498</c:v>
                </c:pt>
                <c:pt idx="129">
                  <c:v>42499</c:v>
                </c:pt>
                <c:pt idx="130">
                  <c:v>42500</c:v>
                </c:pt>
                <c:pt idx="131">
                  <c:v>42501</c:v>
                </c:pt>
                <c:pt idx="132">
                  <c:v>42502</c:v>
                </c:pt>
                <c:pt idx="133">
                  <c:v>42503</c:v>
                </c:pt>
                <c:pt idx="134">
                  <c:v>42504</c:v>
                </c:pt>
                <c:pt idx="135">
                  <c:v>42505</c:v>
                </c:pt>
                <c:pt idx="136">
                  <c:v>42506</c:v>
                </c:pt>
                <c:pt idx="137">
                  <c:v>42507</c:v>
                </c:pt>
                <c:pt idx="138">
                  <c:v>42508</c:v>
                </c:pt>
                <c:pt idx="139">
                  <c:v>42509</c:v>
                </c:pt>
                <c:pt idx="140">
                  <c:v>42510</c:v>
                </c:pt>
                <c:pt idx="141">
                  <c:v>42511</c:v>
                </c:pt>
                <c:pt idx="142">
                  <c:v>42512</c:v>
                </c:pt>
                <c:pt idx="143">
                  <c:v>42513</c:v>
                </c:pt>
                <c:pt idx="144">
                  <c:v>42514</c:v>
                </c:pt>
                <c:pt idx="145">
                  <c:v>42515</c:v>
                </c:pt>
                <c:pt idx="146">
                  <c:v>42516</c:v>
                </c:pt>
                <c:pt idx="147">
                  <c:v>42517</c:v>
                </c:pt>
                <c:pt idx="148">
                  <c:v>42518</c:v>
                </c:pt>
                <c:pt idx="149">
                  <c:v>42519</c:v>
                </c:pt>
                <c:pt idx="150">
                  <c:v>42520</c:v>
                </c:pt>
                <c:pt idx="151">
                  <c:v>42521</c:v>
                </c:pt>
                <c:pt idx="152">
                  <c:v>42522</c:v>
                </c:pt>
                <c:pt idx="153">
                  <c:v>42523</c:v>
                </c:pt>
                <c:pt idx="154">
                  <c:v>42524</c:v>
                </c:pt>
                <c:pt idx="155">
                  <c:v>42525</c:v>
                </c:pt>
                <c:pt idx="156">
                  <c:v>42526</c:v>
                </c:pt>
                <c:pt idx="157">
                  <c:v>42527</c:v>
                </c:pt>
                <c:pt idx="158">
                  <c:v>42528</c:v>
                </c:pt>
                <c:pt idx="159">
                  <c:v>42529</c:v>
                </c:pt>
                <c:pt idx="160">
                  <c:v>42530</c:v>
                </c:pt>
                <c:pt idx="161">
                  <c:v>42531</c:v>
                </c:pt>
                <c:pt idx="162">
                  <c:v>42532</c:v>
                </c:pt>
                <c:pt idx="163">
                  <c:v>42533</c:v>
                </c:pt>
                <c:pt idx="164">
                  <c:v>42534</c:v>
                </c:pt>
                <c:pt idx="165">
                  <c:v>42535</c:v>
                </c:pt>
                <c:pt idx="166">
                  <c:v>42536</c:v>
                </c:pt>
                <c:pt idx="167">
                  <c:v>42537</c:v>
                </c:pt>
                <c:pt idx="168">
                  <c:v>42538</c:v>
                </c:pt>
                <c:pt idx="169">
                  <c:v>42539</c:v>
                </c:pt>
                <c:pt idx="170">
                  <c:v>42540</c:v>
                </c:pt>
                <c:pt idx="171">
                  <c:v>42541</c:v>
                </c:pt>
                <c:pt idx="172">
                  <c:v>42542</c:v>
                </c:pt>
                <c:pt idx="173">
                  <c:v>42543</c:v>
                </c:pt>
                <c:pt idx="174">
                  <c:v>42544</c:v>
                </c:pt>
                <c:pt idx="175">
                  <c:v>42545</c:v>
                </c:pt>
                <c:pt idx="176">
                  <c:v>42546</c:v>
                </c:pt>
                <c:pt idx="177">
                  <c:v>42547</c:v>
                </c:pt>
                <c:pt idx="178">
                  <c:v>42548</c:v>
                </c:pt>
                <c:pt idx="179">
                  <c:v>42549</c:v>
                </c:pt>
                <c:pt idx="180">
                  <c:v>42550</c:v>
                </c:pt>
                <c:pt idx="181">
                  <c:v>42551</c:v>
                </c:pt>
                <c:pt idx="182">
                  <c:v>42552</c:v>
                </c:pt>
                <c:pt idx="183">
                  <c:v>42553</c:v>
                </c:pt>
                <c:pt idx="184">
                  <c:v>42554</c:v>
                </c:pt>
                <c:pt idx="185">
                  <c:v>42555</c:v>
                </c:pt>
                <c:pt idx="186">
                  <c:v>42556</c:v>
                </c:pt>
                <c:pt idx="187">
                  <c:v>42557</c:v>
                </c:pt>
                <c:pt idx="188">
                  <c:v>42558</c:v>
                </c:pt>
                <c:pt idx="189">
                  <c:v>42559</c:v>
                </c:pt>
                <c:pt idx="190">
                  <c:v>42560</c:v>
                </c:pt>
                <c:pt idx="191">
                  <c:v>42561</c:v>
                </c:pt>
                <c:pt idx="192">
                  <c:v>42562</c:v>
                </c:pt>
                <c:pt idx="193">
                  <c:v>42563</c:v>
                </c:pt>
                <c:pt idx="194">
                  <c:v>42564</c:v>
                </c:pt>
                <c:pt idx="195">
                  <c:v>42565</c:v>
                </c:pt>
                <c:pt idx="196">
                  <c:v>42566</c:v>
                </c:pt>
                <c:pt idx="197">
                  <c:v>42567</c:v>
                </c:pt>
                <c:pt idx="198">
                  <c:v>42568</c:v>
                </c:pt>
                <c:pt idx="199">
                  <c:v>42569</c:v>
                </c:pt>
                <c:pt idx="200">
                  <c:v>42570</c:v>
                </c:pt>
                <c:pt idx="201">
                  <c:v>42571</c:v>
                </c:pt>
                <c:pt idx="202">
                  <c:v>42572</c:v>
                </c:pt>
                <c:pt idx="203">
                  <c:v>42573</c:v>
                </c:pt>
                <c:pt idx="204">
                  <c:v>42574</c:v>
                </c:pt>
                <c:pt idx="205">
                  <c:v>42575</c:v>
                </c:pt>
                <c:pt idx="206">
                  <c:v>42576</c:v>
                </c:pt>
                <c:pt idx="207">
                  <c:v>42577</c:v>
                </c:pt>
                <c:pt idx="208">
                  <c:v>42578</c:v>
                </c:pt>
                <c:pt idx="209">
                  <c:v>42579</c:v>
                </c:pt>
                <c:pt idx="210">
                  <c:v>42580</c:v>
                </c:pt>
                <c:pt idx="211">
                  <c:v>42581</c:v>
                </c:pt>
                <c:pt idx="212">
                  <c:v>42582</c:v>
                </c:pt>
                <c:pt idx="213">
                  <c:v>42583</c:v>
                </c:pt>
                <c:pt idx="214">
                  <c:v>42584</c:v>
                </c:pt>
                <c:pt idx="215">
                  <c:v>42585</c:v>
                </c:pt>
                <c:pt idx="216">
                  <c:v>42586</c:v>
                </c:pt>
                <c:pt idx="217">
                  <c:v>42587</c:v>
                </c:pt>
                <c:pt idx="218">
                  <c:v>42588</c:v>
                </c:pt>
                <c:pt idx="219">
                  <c:v>42589</c:v>
                </c:pt>
                <c:pt idx="220">
                  <c:v>42590</c:v>
                </c:pt>
                <c:pt idx="221">
                  <c:v>42591</c:v>
                </c:pt>
                <c:pt idx="222">
                  <c:v>42592</c:v>
                </c:pt>
                <c:pt idx="223">
                  <c:v>42593</c:v>
                </c:pt>
                <c:pt idx="224">
                  <c:v>42594</c:v>
                </c:pt>
                <c:pt idx="225">
                  <c:v>42595</c:v>
                </c:pt>
                <c:pt idx="226">
                  <c:v>42596</c:v>
                </c:pt>
                <c:pt idx="227">
                  <c:v>42597</c:v>
                </c:pt>
                <c:pt idx="228">
                  <c:v>42598</c:v>
                </c:pt>
                <c:pt idx="229">
                  <c:v>42599</c:v>
                </c:pt>
                <c:pt idx="230">
                  <c:v>42600</c:v>
                </c:pt>
                <c:pt idx="231">
                  <c:v>42601</c:v>
                </c:pt>
                <c:pt idx="232">
                  <c:v>42602</c:v>
                </c:pt>
                <c:pt idx="233">
                  <c:v>42603</c:v>
                </c:pt>
                <c:pt idx="234">
                  <c:v>42604</c:v>
                </c:pt>
                <c:pt idx="235">
                  <c:v>42605</c:v>
                </c:pt>
                <c:pt idx="236">
                  <c:v>42606</c:v>
                </c:pt>
                <c:pt idx="237">
                  <c:v>42607</c:v>
                </c:pt>
                <c:pt idx="238">
                  <c:v>42608</c:v>
                </c:pt>
                <c:pt idx="239">
                  <c:v>42609</c:v>
                </c:pt>
                <c:pt idx="240">
                  <c:v>42610</c:v>
                </c:pt>
                <c:pt idx="241">
                  <c:v>42611</c:v>
                </c:pt>
                <c:pt idx="242">
                  <c:v>42612</c:v>
                </c:pt>
                <c:pt idx="243">
                  <c:v>42613</c:v>
                </c:pt>
                <c:pt idx="244">
                  <c:v>42614</c:v>
                </c:pt>
                <c:pt idx="245">
                  <c:v>42615</c:v>
                </c:pt>
                <c:pt idx="246">
                  <c:v>42616</c:v>
                </c:pt>
                <c:pt idx="247">
                  <c:v>42617</c:v>
                </c:pt>
                <c:pt idx="248">
                  <c:v>42618</c:v>
                </c:pt>
                <c:pt idx="249">
                  <c:v>42619</c:v>
                </c:pt>
                <c:pt idx="250">
                  <c:v>42620</c:v>
                </c:pt>
                <c:pt idx="251">
                  <c:v>42621</c:v>
                </c:pt>
                <c:pt idx="252">
                  <c:v>42622</c:v>
                </c:pt>
                <c:pt idx="253">
                  <c:v>42623</c:v>
                </c:pt>
                <c:pt idx="254">
                  <c:v>42624</c:v>
                </c:pt>
                <c:pt idx="255">
                  <c:v>42625</c:v>
                </c:pt>
                <c:pt idx="256">
                  <c:v>42626</c:v>
                </c:pt>
                <c:pt idx="257">
                  <c:v>42627</c:v>
                </c:pt>
                <c:pt idx="258">
                  <c:v>42628</c:v>
                </c:pt>
                <c:pt idx="259">
                  <c:v>42629</c:v>
                </c:pt>
                <c:pt idx="260">
                  <c:v>42630</c:v>
                </c:pt>
                <c:pt idx="261">
                  <c:v>42631</c:v>
                </c:pt>
                <c:pt idx="262">
                  <c:v>42632</c:v>
                </c:pt>
                <c:pt idx="263">
                  <c:v>42633</c:v>
                </c:pt>
                <c:pt idx="264">
                  <c:v>42634</c:v>
                </c:pt>
                <c:pt idx="265">
                  <c:v>42635</c:v>
                </c:pt>
                <c:pt idx="266">
                  <c:v>42636</c:v>
                </c:pt>
                <c:pt idx="267">
                  <c:v>42637</c:v>
                </c:pt>
                <c:pt idx="268">
                  <c:v>42638</c:v>
                </c:pt>
                <c:pt idx="269">
                  <c:v>42639</c:v>
                </c:pt>
                <c:pt idx="270">
                  <c:v>42640</c:v>
                </c:pt>
                <c:pt idx="271">
                  <c:v>42641</c:v>
                </c:pt>
                <c:pt idx="272">
                  <c:v>42642</c:v>
                </c:pt>
                <c:pt idx="273">
                  <c:v>42643</c:v>
                </c:pt>
                <c:pt idx="274">
                  <c:v>42644</c:v>
                </c:pt>
                <c:pt idx="275">
                  <c:v>42645</c:v>
                </c:pt>
                <c:pt idx="276">
                  <c:v>42646</c:v>
                </c:pt>
                <c:pt idx="277">
                  <c:v>42647</c:v>
                </c:pt>
                <c:pt idx="278">
                  <c:v>42648</c:v>
                </c:pt>
                <c:pt idx="279">
                  <c:v>42649</c:v>
                </c:pt>
                <c:pt idx="280">
                  <c:v>42650</c:v>
                </c:pt>
                <c:pt idx="281">
                  <c:v>42651</c:v>
                </c:pt>
                <c:pt idx="282">
                  <c:v>42652</c:v>
                </c:pt>
                <c:pt idx="283">
                  <c:v>42653</c:v>
                </c:pt>
                <c:pt idx="284">
                  <c:v>42654</c:v>
                </c:pt>
                <c:pt idx="285">
                  <c:v>42655</c:v>
                </c:pt>
                <c:pt idx="286">
                  <c:v>42656</c:v>
                </c:pt>
                <c:pt idx="287">
                  <c:v>42657</c:v>
                </c:pt>
                <c:pt idx="288">
                  <c:v>42658</c:v>
                </c:pt>
                <c:pt idx="289">
                  <c:v>42659</c:v>
                </c:pt>
                <c:pt idx="290">
                  <c:v>42660</c:v>
                </c:pt>
                <c:pt idx="291">
                  <c:v>42661</c:v>
                </c:pt>
                <c:pt idx="292">
                  <c:v>42662</c:v>
                </c:pt>
                <c:pt idx="293">
                  <c:v>42663</c:v>
                </c:pt>
                <c:pt idx="294">
                  <c:v>42664</c:v>
                </c:pt>
                <c:pt idx="295">
                  <c:v>42665</c:v>
                </c:pt>
                <c:pt idx="296">
                  <c:v>42666</c:v>
                </c:pt>
                <c:pt idx="297">
                  <c:v>42667</c:v>
                </c:pt>
                <c:pt idx="298">
                  <c:v>42668</c:v>
                </c:pt>
                <c:pt idx="299">
                  <c:v>42669</c:v>
                </c:pt>
                <c:pt idx="300">
                  <c:v>42670</c:v>
                </c:pt>
                <c:pt idx="301">
                  <c:v>42671</c:v>
                </c:pt>
                <c:pt idx="302">
                  <c:v>42672</c:v>
                </c:pt>
                <c:pt idx="303">
                  <c:v>42673</c:v>
                </c:pt>
                <c:pt idx="304">
                  <c:v>42674</c:v>
                </c:pt>
                <c:pt idx="305">
                  <c:v>42675</c:v>
                </c:pt>
                <c:pt idx="306">
                  <c:v>42676</c:v>
                </c:pt>
                <c:pt idx="307">
                  <c:v>42677</c:v>
                </c:pt>
                <c:pt idx="308">
                  <c:v>42678</c:v>
                </c:pt>
                <c:pt idx="309">
                  <c:v>42679</c:v>
                </c:pt>
                <c:pt idx="310">
                  <c:v>42680</c:v>
                </c:pt>
                <c:pt idx="311">
                  <c:v>42681</c:v>
                </c:pt>
                <c:pt idx="312">
                  <c:v>42682</c:v>
                </c:pt>
                <c:pt idx="313">
                  <c:v>42683</c:v>
                </c:pt>
                <c:pt idx="314">
                  <c:v>42684</c:v>
                </c:pt>
                <c:pt idx="315">
                  <c:v>42685</c:v>
                </c:pt>
                <c:pt idx="316">
                  <c:v>42686</c:v>
                </c:pt>
                <c:pt idx="317">
                  <c:v>42687</c:v>
                </c:pt>
                <c:pt idx="318">
                  <c:v>42688</c:v>
                </c:pt>
                <c:pt idx="319">
                  <c:v>42689</c:v>
                </c:pt>
                <c:pt idx="320">
                  <c:v>42690</c:v>
                </c:pt>
                <c:pt idx="321">
                  <c:v>42691</c:v>
                </c:pt>
                <c:pt idx="322">
                  <c:v>42692</c:v>
                </c:pt>
                <c:pt idx="323">
                  <c:v>42693</c:v>
                </c:pt>
                <c:pt idx="324">
                  <c:v>42694</c:v>
                </c:pt>
                <c:pt idx="325">
                  <c:v>42695</c:v>
                </c:pt>
                <c:pt idx="326">
                  <c:v>42696</c:v>
                </c:pt>
                <c:pt idx="327">
                  <c:v>42697</c:v>
                </c:pt>
                <c:pt idx="328">
                  <c:v>42698</c:v>
                </c:pt>
                <c:pt idx="329">
                  <c:v>42699</c:v>
                </c:pt>
                <c:pt idx="330">
                  <c:v>42700</c:v>
                </c:pt>
                <c:pt idx="331">
                  <c:v>42701</c:v>
                </c:pt>
                <c:pt idx="332">
                  <c:v>42702</c:v>
                </c:pt>
                <c:pt idx="333">
                  <c:v>42703</c:v>
                </c:pt>
                <c:pt idx="334">
                  <c:v>42704</c:v>
                </c:pt>
                <c:pt idx="335">
                  <c:v>42705</c:v>
                </c:pt>
                <c:pt idx="336">
                  <c:v>42706</c:v>
                </c:pt>
                <c:pt idx="337">
                  <c:v>42707</c:v>
                </c:pt>
                <c:pt idx="338">
                  <c:v>42708</c:v>
                </c:pt>
                <c:pt idx="339">
                  <c:v>42709</c:v>
                </c:pt>
                <c:pt idx="340">
                  <c:v>42710</c:v>
                </c:pt>
                <c:pt idx="341">
                  <c:v>42711</c:v>
                </c:pt>
                <c:pt idx="342">
                  <c:v>42712</c:v>
                </c:pt>
                <c:pt idx="343">
                  <c:v>42713</c:v>
                </c:pt>
                <c:pt idx="344">
                  <c:v>42714</c:v>
                </c:pt>
                <c:pt idx="345">
                  <c:v>42715</c:v>
                </c:pt>
                <c:pt idx="346">
                  <c:v>42716</c:v>
                </c:pt>
                <c:pt idx="347">
                  <c:v>42717</c:v>
                </c:pt>
                <c:pt idx="348">
                  <c:v>42718</c:v>
                </c:pt>
                <c:pt idx="349">
                  <c:v>42719</c:v>
                </c:pt>
                <c:pt idx="350">
                  <c:v>42720</c:v>
                </c:pt>
                <c:pt idx="351">
                  <c:v>42721</c:v>
                </c:pt>
                <c:pt idx="352">
                  <c:v>42722</c:v>
                </c:pt>
                <c:pt idx="353">
                  <c:v>42723</c:v>
                </c:pt>
                <c:pt idx="354">
                  <c:v>42724</c:v>
                </c:pt>
                <c:pt idx="355">
                  <c:v>42725</c:v>
                </c:pt>
                <c:pt idx="356">
                  <c:v>42726</c:v>
                </c:pt>
                <c:pt idx="357">
                  <c:v>42727</c:v>
                </c:pt>
                <c:pt idx="358">
                  <c:v>42728</c:v>
                </c:pt>
                <c:pt idx="359">
                  <c:v>42729</c:v>
                </c:pt>
                <c:pt idx="360">
                  <c:v>42730</c:v>
                </c:pt>
                <c:pt idx="361">
                  <c:v>42731</c:v>
                </c:pt>
                <c:pt idx="362">
                  <c:v>42732</c:v>
                </c:pt>
                <c:pt idx="363">
                  <c:v>42733</c:v>
                </c:pt>
                <c:pt idx="364">
                  <c:v>42734</c:v>
                </c:pt>
                <c:pt idx="365">
                  <c:v>42735</c:v>
                </c:pt>
                <c:pt idx="366">
                  <c:v>42736</c:v>
                </c:pt>
                <c:pt idx="367">
                  <c:v>42737</c:v>
                </c:pt>
                <c:pt idx="368">
                  <c:v>42738</c:v>
                </c:pt>
                <c:pt idx="369">
                  <c:v>42739</c:v>
                </c:pt>
                <c:pt idx="370">
                  <c:v>42740</c:v>
                </c:pt>
                <c:pt idx="371">
                  <c:v>42741</c:v>
                </c:pt>
                <c:pt idx="372">
                  <c:v>42742</c:v>
                </c:pt>
                <c:pt idx="373">
                  <c:v>42743</c:v>
                </c:pt>
                <c:pt idx="374">
                  <c:v>42744</c:v>
                </c:pt>
                <c:pt idx="375">
                  <c:v>42745</c:v>
                </c:pt>
                <c:pt idx="376">
                  <c:v>42746</c:v>
                </c:pt>
                <c:pt idx="377">
                  <c:v>42747</c:v>
                </c:pt>
                <c:pt idx="378">
                  <c:v>42748</c:v>
                </c:pt>
                <c:pt idx="379">
                  <c:v>42749</c:v>
                </c:pt>
                <c:pt idx="380">
                  <c:v>42750</c:v>
                </c:pt>
                <c:pt idx="381">
                  <c:v>42751</c:v>
                </c:pt>
                <c:pt idx="382">
                  <c:v>42752</c:v>
                </c:pt>
                <c:pt idx="383">
                  <c:v>42753</c:v>
                </c:pt>
                <c:pt idx="384">
                  <c:v>42754</c:v>
                </c:pt>
                <c:pt idx="385">
                  <c:v>42755</c:v>
                </c:pt>
                <c:pt idx="386">
                  <c:v>42756</c:v>
                </c:pt>
                <c:pt idx="387">
                  <c:v>42757</c:v>
                </c:pt>
                <c:pt idx="388">
                  <c:v>42758</c:v>
                </c:pt>
                <c:pt idx="389">
                  <c:v>42759</c:v>
                </c:pt>
                <c:pt idx="390">
                  <c:v>42760</c:v>
                </c:pt>
                <c:pt idx="391">
                  <c:v>42761</c:v>
                </c:pt>
                <c:pt idx="392">
                  <c:v>42762</c:v>
                </c:pt>
                <c:pt idx="393">
                  <c:v>42763</c:v>
                </c:pt>
                <c:pt idx="394">
                  <c:v>42764</c:v>
                </c:pt>
                <c:pt idx="395">
                  <c:v>42765</c:v>
                </c:pt>
                <c:pt idx="396">
                  <c:v>42766</c:v>
                </c:pt>
                <c:pt idx="397">
                  <c:v>42767</c:v>
                </c:pt>
                <c:pt idx="398">
                  <c:v>42768</c:v>
                </c:pt>
                <c:pt idx="399">
                  <c:v>42769</c:v>
                </c:pt>
                <c:pt idx="400">
                  <c:v>42770</c:v>
                </c:pt>
                <c:pt idx="401">
                  <c:v>42771</c:v>
                </c:pt>
                <c:pt idx="402">
                  <c:v>42772</c:v>
                </c:pt>
                <c:pt idx="403">
                  <c:v>42773</c:v>
                </c:pt>
                <c:pt idx="404">
                  <c:v>42774</c:v>
                </c:pt>
                <c:pt idx="405">
                  <c:v>42775</c:v>
                </c:pt>
                <c:pt idx="406">
                  <c:v>42776</c:v>
                </c:pt>
                <c:pt idx="407">
                  <c:v>42777</c:v>
                </c:pt>
                <c:pt idx="408">
                  <c:v>42778</c:v>
                </c:pt>
                <c:pt idx="409">
                  <c:v>42779</c:v>
                </c:pt>
                <c:pt idx="410">
                  <c:v>42780</c:v>
                </c:pt>
                <c:pt idx="411">
                  <c:v>42781</c:v>
                </c:pt>
                <c:pt idx="412">
                  <c:v>42782</c:v>
                </c:pt>
                <c:pt idx="413">
                  <c:v>42783</c:v>
                </c:pt>
                <c:pt idx="414">
                  <c:v>42784</c:v>
                </c:pt>
                <c:pt idx="415">
                  <c:v>42785</c:v>
                </c:pt>
                <c:pt idx="416">
                  <c:v>42786</c:v>
                </c:pt>
                <c:pt idx="417">
                  <c:v>42787</c:v>
                </c:pt>
                <c:pt idx="418">
                  <c:v>42788</c:v>
                </c:pt>
                <c:pt idx="419">
                  <c:v>42789</c:v>
                </c:pt>
                <c:pt idx="420">
                  <c:v>42790</c:v>
                </c:pt>
                <c:pt idx="421">
                  <c:v>42791</c:v>
                </c:pt>
                <c:pt idx="422">
                  <c:v>42792</c:v>
                </c:pt>
                <c:pt idx="423">
                  <c:v>42793</c:v>
                </c:pt>
                <c:pt idx="424">
                  <c:v>42794</c:v>
                </c:pt>
                <c:pt idx="425">
                  <c:v>42795</c:v>
                </c:pt>
                <c:pt idx="426">
                  <c:v>42796</c:v>
                </c:pt>
                <c:pt idx="427">
                  <c:v>42797</c:v>
                </c:pt>
                <c:pt idx="428">
                  <c:v>42798</c:v>
                </c:pt>
                <c:pt idx="429">
                  <c:v>42799</c:v>
                </c:pt>
                <c:pt idx="430">
                  <c:v>42800</c:v>
                </c:pt>
                <c:pt idx="431">
                  <c:v>42801</c:v>
                </c:pt>
                <c:pt idx="432">
                  <c:v>42802</c:v>
                </c:pt>
                <c:pt idx="433">
                  <c:v>42803</c:v>
                </c:pt>
                <c:pt idx="434">
                  <c:v>42804</c:v>
                </c:pt>
                <c:pt idx="435">
                  <c:v>42805</c:v>
                </c:pt>
                <c:pt idx="436">
                  <c:v>42806</c:v>
                </c:pt>
                <c:pt idx="437">
                  <c:v>42807</c:v>
                </c:pt>
                <c:pt idx="438">
                  <c:v>42808</c:v>
                </c:pt>
                <c:pt idx="439">
                  <c:v>42809</c:v>
                </c:pt>
                <c:pt idx="440">
                  <c:v>42810</c:v>
                </c:pt>
                <c:pt idx="441">
                  <c:v>42811</c:v>
                </c:pt>
                <c:pt idx="442">
                  <c:v>42812</c:v>
                </c:pt>
                <c:pt idx="443">
                  <c:v>42813</c:v>
                </c:pt>
                <c:pt idx="444">
                  <c:v>42814</c:v>
                </c:pt>
                <c:pt idx="445">
                  <c:v>42815</c:v>
                </c:pt>
                <c:pt idx="446">
                  <c:v>42816</c:v>
                </c:pt>
                <c:pt idx="447">
                  <c:v>42817</c:v>
                </c:pt>
                <c:pt idx="448">
                  <c:v>42818</c:v>
                </c:pt>
                <c:pt idx="449">
                  <c:v>42819</c:v>
                </c:pt>
                <c:pt idx="450">
                  <c:v>42820</c:v>
                </c:pt>
                <c:pt idx="451">
                  <c:v>42821</c:v>
                </c:pt>
                <c:pt idx="452">
                  <c:v>42822</c:v>
                </c:pt>
                <c:pt idx="453">
                  <c:v>42823</c:v>
                </c:pt>
                <c:pt idx="454">
                  <c:v>42824</c:v>
                </c:pt>
                <c:pt idx="455">
                  <c:v>42825</c:v>
                </c:pt>
                <c:pt idx="456">
                  <c:v>42826</c:v>
                </c:pt>
                <c:pt idx="457">
                  <c:v>42827</c:v>
                </c:pt>
                <c:pt idx="458">
                  <c:v>42828</c:v>
                </c:pt>
                <c:pt idx="459">
                  <c:v>42829</c:v>
                </c:pt>
                <c:pt idx="460">
                  <c:v>42830</c:v>
                </c:pt>
                <c:pt idx="461">
                  <c:v>42831</c:v>
                </c:pt>
                <c:pt idx="462">
                  <c:v>42832</c:v>
                </c:pt>
                <c:pt idx="463">
                  <c:v>42833</c:v>
                </c:pt>
                <c:pt idx="464">
                  <c:v>42834</c:v>
                </c:pt>
                <c:pt idx="465">
                  <c:v>42835</c:v>
                </c:pt>
                <c:pt idx="466">
                  <c:v>42836</c:v>
                </c:pt>
                <c:pt idx="467">
                  <c:v>42837</c:v>
                </c:pt>
                <c:pt idx="468">
                  <c:v>42838</c:v>
                </c:pt>
                <c:pt idx="469">
                  <c:v>42839</c:v>
                </c:pt>
                <c:pt idx="470">
                  <c:v>42840</c:v>
                </c:pt>
                <c:pt idx="471">
                  <c:v>42841</c:v>
                </c:pt>
                <c:pt idx="472">
                  <c:v>42842</c:v>
                </c:pt>
                <c:pt idx="473">
                  <c:v>42843</c:v>
                </c:pt>
                <c:pt idx="474">
                  <c:v>42844</c:v>
                </c:pt>
                <c:pt idx="475">
                  <c:v>42845</c:v>
                </c:pt>
                <c:pt idx="476">
                  <c:v>42846</c:v>
                </c:pt>
                <c:pt idx="477">
                  <c:v>42847</c:v>
                </c:pt>
                <c:pt idx="478">
                  <c:v>42848</c:v>
                </c:pt>
                <c:pt idx="479">
                  <c:v>42849</c:v>
                </c:pt>
                <c:pt idx="480">
                  <c:v>42850</c:v>
                </c:pt>
                <c:pt idx="481">
                  <c:v>42851</c:v>
                </c:pt>
                <c:pt idx="482">
                  <c:v>42852</c:v>
                </c:pt>
                <c:pt idx="483">
                  <c:v>42853</c:v>
                </c:pt>
                <c:pt idx="484">
                  <c:v>42854</c:v>
                </c:pt>
                <c:pt idx="485">
                  <c:v>42855</c:v>
                </c:pt>
                <c:pt idx="486">
                  <c:v>42856</c:v>
                </c:pt>
                <c:pt idx="487">
                  <c:v>42857</c:v>
                </c:pt>
                <c:pt idx="488">
                  <c:v>42858</c:v>
                </c:pt>
                <c:pt idx="489">
                  <c:v>42859</c:v>
                </c:pt>
                <c:pt idx="490">
                  <c:v>42860</c:v>
                </c:pt>
                <c:pt idx="491">
                  <c:v>42861</c:v>
                </c:pt>
                <c:pt idx="492">
                  <c:v>42862</c:v>
                </c:pt>
                <c:pt idx="493">
                  <c:v>42863</c:v>
                </c:pt>
                <c:pt idx="494">
                  <c:v>42864</c:v>
                </c:pt>
                <c:pt idx="495">
                  <c:v>42865</c:v>
                </c:pt>
                <c:pt idx="496">
                  <c:v>42866</c:v>
                </c:pt>
                <c:pt idx="497">
                  <c:v>42867</c:v>
                </c:pt>
                <c:pt idx="498">
                  <c:v>42868</c:v>
                </c:pt>
                <c:pt idx="499">
                  <c:v>42869</c:v>
                </c:pt>
                <c:pt idx="500">
                  <c:v>42870</c:v>
                </c:pt>
                <c:pt idx="501">
                  <c:v>42871</c:v>
                </c:pt>
                <c:pt idx="502">
                  <c:v>42872</c:v>
                </c:pt>
                <c:pt idx="503">
                  <c:v>42873</c:v>
                </c:pt>
                <c:pt idx="504">
                  <c:v>42874</c:v>
                </c:pt>
                <c:pt idx="505">
                  <c:v>42875</c:v>
                </c:pt>
                <c:pt idx="506">
                  <c:v>42876</c:v>
                </c:pt>
                <c:pt idx="507">
                  <c:v>42877</c:v>
                </c:pt>
                <c:pt idx="508">
                  <c:v>42878</c:v>
                </c:pt>
                <c:pt idx="509">
                  <c:v>42879</c:v>
                </c:pt>
                <c:pt idx="510">
                  <c:v>42880</c:v>
                </c:pt>
                <c:pt idx="511">
                  <c:v>42881</c:v>
                </c:pt>
                <c:pt idx="512">
                  <c:v>42882</c:v>
                </c:pt>
                <c:pt idx="513">
                  <c:v>42883</c:v>
                </c:pt>
                <c:pt idx="514">
                  <c:v>42884</c:v>
                </c:pt>
                <c:pt idx="515">
                  <c:v>42885</c:v>
                </c:pt>
                <c:pt idx="516">
                  <c:v>42886</c:v>
                </c:pt>
                <c:pt idx="517">
                  <c:v>42887</c:v>
                </c:pt>
                <c:pt idx="518">
                  <c:v>42888</c:v>
                </c:pt>
                <c:pt idx="519">
                  <c:v>42889</c:v>
                </c:pt>
                <c:pt idx="520">
                  <c:v>42890</c:v>
                </c:pt>
                <c:pt idx="521">
                  <c:v>42891</c:v>
                </c:pt>
                <c:pt idx="522">
                  <c:v>42892</c:v>
                </c:pt>
                <c:pt idx="523">
                  <c:v>42893</c:v>
                </c:pt>
                <c:pt idx="524">
                  <c:v>42894</c:v>
                </c:pt>
                <c:pt idx="525">
                  <c:v>42895</c:v>
                </c:pt>
                <c:pt idx="526">
                  <c:v>42896</c:v>
                </c:pt>
                <c:pt idx="527">
                  <c:v>42897</c:v>
                </c:pt>
                <c:pt idx="528">
                  <c:v>42898</c:v>
                </c:pt>
                <c:pt idx="529">
                  <c:v>42899</c:v>
                </c:pt>
                <c:pt idx="530">
                  <c:v>42900</c:v>
                </c:pt>
                <c:pt idx="531">
                  <c:v>42901</c:v>
                </c:pt>
                <c:pt idx="532">
                  <c:v>42902</c:v>
                </c:pt>
                <c:pt idx="533">
                  <c:v>42903</c:v>
                </c:pt>
                <c:pt idx="534">
                  <c:v>42904</c:v>
                </c:pt>
                <c:pt idx="535">
                  <c:v>42905</c:v>
                </c:pt>
                <c:pt idx="536">
                  <c:v>42906</c:v>
                </c:pt>
                <c:pt idx="537">
                  <c:v>42907</c:v>
                </c:pt>
                <c:pt idx="538">
                  <c:v>42908</c:v>
                </c:pt>
                <c:pt idx="539">
                  <c:v>42909</c:v>
                </c:pt>
                <c:pt idx="540">
                  <c:v>42910</c:v>
                </c:pt>
                <c:pt idx="541">
                  <c:v>42911</c:v>
                </c:pt>
                <c:pt idx="542">
                  <c:v>42912</c:v>
                </c:pt>
                <c:pt idx="543">
                  <c:v>42913</c:v>
                </c:pt>
                <c:pt idx="544">
                  <c:v>42914</c:v>
                </c:pt>
                <c:pt idx="545">
                  <c:v>42915</c:v>
                </c:pt>
                <c:pt idx="546">
                  <c:v>42916</c:v>
                </c:pt>
                <c:pt idx="547">
                  <c:v>42917</c:v>
                </c:pt>
                <c:pt idx="548">
                  <c:v>42918</c:v>
                </c:pt>
                <c:pt idx="549">
                  <c:v>42919</c:v>
                </c:pt>
                <c:pt idx="550">
                  <c:v>42920</c:v>
                </c:pt>
                <c:pt idx="551">
                  <c:v>42921</c:v>
                </c:pt>
                <c:pt idx="552">
                  <c:v>42922</c:v>
                </c:pt>
                <c:pt idx="553">
                  <c:v>42923</c:v>
                </c:pt>
                <c:pt idx="554">
                  <c:v>42924</c:v>
                </c:pt>
                <c:pt idx="555">
                  <c:v>42925</c:v>
                </c:pt>
                <c:pt idx="556">
                  <c:v>42926</c:v>
                </c:pt>
                <c:pt idx="557">
                  <c:v>42927</c:v>
                </c:pt>
                <c:pt idx="558">
                  <c:v>42928</c:v>
                </c:pt>
                <c:pt idx="559">
                  <c:v>42929</c:v>
                </c:pt>
                <c:pt idx="560">
                  <c:v>42930</c:v>
                </c:pt>
                <c:pt idx="561">
                  <c:v>42931</c:v>
                </c:pt>
                <c:pt idx="562">
                  <c:v>42932</c:v>
                </c:pt>
                <c:pt idx="563">
                  <c:v>42933</c:v>
                </c:pt>
                <c:pt idx="564">
                  <c:v>42934</c:v>
                </c:pt>
                <c:pt idx="565">
                  <c:v>42935</c:v>
                </c:pt>
                <c:pt idx="566">
                  <c:v>42936</c:v>
                </c:pt>
                <c:pt idx="567">
                  <c:v>42937</c:v>
                </c:pt>
                <c:pt idx="568">
                  <c:v>42938</c:v>
                </c:pt>
                <c:pt idx="569">
                  <c:v>42939</c:v>
                </c:pt>
                <c:pt idx="570">
                  <c:v>42940</c:v>
                </c:pt>
                <c:pt idx="571">
                  <c:v>42941</c:v>
                </c:pt>
                <c:pt idx="572">
                  <c:v>42942</c:v>
                </c:pt>
                <c:pt idx="573">
                  <c:v>42943</c:v>
                </c:pt>
                <c:pt idx="574">
                  <c:v>42944</c:v>
                </c:pt>
                <c:pt idx="575">
                  <c:v>42945</c:v>
                </c:pt>
                <c:pt idx="576">
                  <c:v>42946</c:v>
                </c:pt>
                <c:pt idx="577">
                  <c:v>42947</c:v>
                </c:pt>
                <c:pt idx="578">
                  <c:v>42948</c:v>
                </c:pt>
                <c:pt idx="579">
                  <c:v>42949</c:v>
                </c:pt>
                <c:pt idx="580">
                  <c:v>42950</c:v>
                </c:pt>
                <c:pt idx="581">
                  <c:v>42951</c:v>
                </c:pt>
                <c:pt idx="582">
                  <c:v>42952</c:v>
                </c:pt>
                <c:pt idx="583">
                  <c:v>42953</c:v>
                </c:pt>
                <c:pt idx="584">
                  <c:v>42954</c:v>
                </c:pt>
                <c:pt idx="585">
                  <c:v>42955</c:v>
                </c:pt>
                <c:pt idx="586">
                  <c:v>42956</c:v>
                </c:pt>
                <c:pt idx="587">
                  <c:v>42957</c:v>
                </c:pt>
                <c:pt idx="588">
                  <c:v>42958</c:v>
                </c:pt>
                <c:pt idx="589">
                  <c:v>42959</c:v>
                </c:pt>
                <c:pt idx="590">
                  <c:v>42960</c:v>
                </c:pt>
                <c:pt idx="591">
                  <c:v>42961</c:v>
                </c:pt>
                <c:pt idx="592">
                  <c:v>42962</c:v>
                </c:pt>
                <c:pt idx="593">
                  <c:v>42963</c:v>
                </c:pt>
                <c:pt idx="594">
                  <c:v>42964</c:v>
                </c:pt>
                <c:pt idx="595">
                  <c:v>42965</c:v>
                </c:pt>
                <c:pt idx="596">
                  <c:v>42966</c:v>
                </c:pt>
                <c:pt idx="597">
                  <c:v>42967</c:v>
                </c:pt>
                <c:pt idx="598">
                  <c:v>42968</c:v>
                </c:pt>
                <c:pt idx="599">
                  <c:v>42969</c:v>
                </c:pt>
                <c:pt idx="600">
                  <c:v>42970</c:v>
                </c:pt>
                <c:pt idx="601">
                  <c:v>42971</c:v>
                </c:pt>
                <c:pt idx="602">
                  <c:v>42972</c:v>
                </c:pt>
                <c:pt idx="603">
                  <c:v>42973</c:v>
                </c:pt>
                <c:pt idx="604">
                  <c:v>42974</c:v>
                </c:pt>
                <c:pt idx="605">
                  <c:v>42975</c:v>
                </c:pt>
                <c:pt idx="606">
                  <c:v>42976</c:v>
                </c:pt>
                <c:pt idx="607">
                  <c:v>42977</c:v>
                </c:pt>
                <c:pt idx="608">
                  <c:v>42978</c:v>
                </c:pt>
                <c:pt idx="609">
                  <c:v>42979</c:v>
                </c:pt>
                <c:pt idx="610">
                  <c:v>42980</c:v>
                </c:pt>
                <c:pt idx="611">
                  <c:v>42981</c:v>
                </c:pt>
                <c:pt idx="612">
                  <c:v>42982</c:v>
                </c:pt>
                <c:pt idx="613">
                  <c:v>42983</c:v>
                </c:pt>
                <c:pt idx="614">
                  <c:v>42984</c:v>
                </c:pt>
                <c:pt idx="615">
                  <c:v>42985</c:v>
                </c:pt>
                <c:pt idx="616">
                  <c:v>42986</c:v>
                </c:pt>
                <c:pt idx="617">
                  <c:v>42987</c:v>
                </c:pt>
                <c:pt idx="618">
                  <c:v>42988</c:v>
                </c:pt>
                <c:pt idx="619">
                  <c:v>42989</c:v>
                </c:pt>
                <c:pt idx="620">
                  <c:v>42990</c:v>
                </c:pt>
                <c:pt idx="621">
                  <c:v>42991</c:v>
                </c:pt>
                <c:pt idx="622">
                  <c:v>42992</c:v>
                </c:pt>
                <c:pt idx="623">
                  <c:v>42993</c:v>
                </c:pt>
                <c:pt idx="624">
                  <c:v>42994</c:v>
                </c:pt>
                <c:pt idx="625">
                  <c:v>42995</c:v>
                </c:pt>
                <c:pt idx="626">
                  <c:v>42996</c:v>
                </c:pt>
                <c:pt idx="627">
                  <c:v>42997</c:v>
                </c:pt>
                <c:pt idx="628">
                  <c:v>42998</c:v>
                </c:pt>
                <c:pt idx="629">
                  <c:v>42999</c:v>
                </c:pt>
                <c:pt idx="630">
                  <c:v>43000</c:v>
                </c:pt>
                <c:pt idx="631">
                  <c:v>43001</c:v>
                </c:pt>
                <c:pt idx="632">
                  <c:v>43002</c:v>
                </c:pt>
                <c:pt idx="633">
                  <c:v>43003</c:v>
                </c:pt>
                <c:pt idx="634">
                  <c:v>43004</c:v>
                </c:pt>
                <c:pt idx="635">
                  <c:v>43005</c:v>
                </c:pt>
                <c:pt idx="636">
                  <c:v>43006</c:v>
                </c:pt>
                <c:pt idx="637">
                  <c:v>43007</c:v>
                </c:pt>
                <c:pt idx="638">
                  <c:v>43008</c:v>
                </c:pt>
                <c:pt idx="639">
                  <c:v>43009</c:v>
                </c:pt>
                <c:pt idx="640">
                  <c:v>43010</c:v>
                </c:pt>
                <c:pt idx="641">
                  <c:v>43011</c:v>
                </c:pt>
                <c:pt idx="642">
                  <c:v>43012</c:v>
                </c:pt>
                <c:pt idx="643">
                  <c:v>43013</c:v>
                </c:pt>
                <c:pt idx="644">
                  <c:v>43014</c:v>
                </c:pt>
                <c:pt idx="645">
                  <c:v>43015</c:v>
                </c:pt>
                <c:pt idx="646">
                  <c:v>43016</c:v>
                </c:pt>
                <c:pt idx="647">
                  <c:v>43017</c:v>
                </c:pt>
                <c:pt idx="648">
                  <c:v>43018</c:v>
                </c:pt>
                <c:pt idx="649">
                  <c:v>43019</c:v>
                </c:pt>
                <c:pt idx="650">
                  <c:v>43020</c:v>
                </c:pt>
                <c:pt idx="651">
                  <c:v>43021</c:v>
                </c:pt>
                <c:pt idx="652">
                  <c:v>43022</c:v>
                </c:pt>
                <c:pt idx="653">
                  <c:v>43023</c:v>
                </c:pt>
                <c:pt idx="654">
                  <c:v>43024</c:v>
                </c:pt>
                <c:pt idx="655">
                  <c:v>43025</c:v>
                </c:pt>
                <c:pt idx="656">
                  <c:v>43026</c:v>
                </c:pt>
                <c:pt idx="657">
                  <c:v>43027</c:v>
                </c:pt>
                <c:pt idx="658">
                  <c:v>43028</c:v>
                </c:pt>
                <c:pt idx="659">
                  <c:v>43029</c:v>
                </c:pt>
                <c:pt idx="660">
                  <c:v>43030</c:v>
                </c:pt>
                <c:pt idx="661">
                  <c:v>43031</c:v>
                </c:pt>
                <c:pt idx="662">
                  <c:v>43032</c:v>
                </c:pt>
                <c:pt idx="663">
                  <c:v>43033</c:v>
                </c:pt>
                <c:pt idx="664">
                  <c:v>43034</c:v>
                </c:pt>
                <c:pt idx="665">
                  <c:v>43035</c:v>
                </c:pt>
                <c:pt idx="666">
                  <c:v>43036</c:v>
                </c:pt>
                <c:pt idx="667">
                  <c:v>43037</c:v>
                </c:pt>
                <c:pt idx="668">
                  <c:v>43038</c:v>
                </c:pt>
                <c:pt idx="669">
                  <c:v>43039</c:v>
                </c:pt>
                <c:pt idx="670">
                  <c:v>43040</c:v>
                </c:pt>
                <c:pt idx="671">
                  <c:v>43041</c:v>
                </c:pt>
                <c:pt idx="672">
                  <c:v>43042</c:v>
                </c:pt>
                <c:pt idx="673">
                  <c:v>43043</c:v>
                </c:pt>
                <c:pt idx="674">
                  <c:v>43044</c:v>
                </c:pt>
                <c:pt idx="675">
                  <c:v>43045</c:v>
                </c:pt>
                <c:pt idx="676">
                  <c:v>43046</c:v>
                </c:pt>
                <c:pt idx="677">
                  <c:v>43047</c:v>
                </c:pt>
                <c:pt idx="678">
                  <c:v>43048</c:v>
                </c:pt>
                <c:pt idx="679">
                  <c:v>43049</c:v>
                </c:pt>
                <c:pt idx="680">
                  <c:v>43050</c:v>
                </c:pt>
                <c:pt idx="681">
                  <c:v>43051</c:v>
                </c:pt>
                <c:pt idx="682">
                  <c:v>43052</c:v>
                </c:pt>
                <c:pt idx="683">
                  <c:v>43053</c:v>
                </c:pt>
                <c:pt idx="684">
                  <c:v>43054</c:v>
                </c:pt>
                <c:pt idx="685">
                  <c:v>43055</c:v>
                </c:pt>
                <c:pt idx="686">
                  <c:v>43056</c:v>
                </c:pt>
                <c:pt idx="687">
                  <c:v>43057</c:v>
                </c:pt>
                <c:pt idx="688">
                  <c:v>43058</c:v>
                </c:pt>
                <c:pt idx="689">
                  <c:v>43059</c:v>
                </c:pt>
                <c:pt idx="690">
                  <c:v>43060</c:v>
                </c:pt>
                <c:pt idx="691">
                  <c:v>43061</c:v>
                </c:pt>
                <c:pt idx="692">
                  <c:v>43062</c:v>
                </c:pt>
                <c:pt idx="693">
                  <c:v>43063</c:v>
                </c:pt>
                <c:pt idx="694">
                  <c:v>43064</c:v>
                </c:pt>
                <c:pt idx="695">
                  <c:v>43065</c:v>
                </c:pt>
                <c:pt idx="696">
                  <c:v>43066</c:v>
                </c:pt>
                <c:pt idx="697">
                  <c:v>43067</c:v>
                </c:pt>
                <c:pt idx="698">
                  <c:v>43068</c:v>
                </c:pt>
                <c:pt idx="699">
                  <c:v>43069</c:v>
                </c:pt>
                <c:pt idx="700">
                  <c:v>43070</c:v>
                </c:pt>
                <c:pt idx="701">
                  <c:v>43071</c:v>
                </c:pt>
                <c:pt idx="702">
                  <c:v>43072</c:v>
                </c:pt>
                <c:pt idx="703">
                  <c:v>43073</c:v>
                </c:pt>
                <c:pt idx="704">
                  <c:v>43074</c:v>
                </c:pt>
                <c:pt idx="705">
                  <c:v>43075</c:v>
                </c:pt>
                <c:pt idx="706">
                  <c:v>43076</c:v>
                </c:pt>
                <c:pt idx="707">
                  <c:v>43077</c:v>
                </c:pt>
                <c:pt idx="708">
                  <c:v>43078</c:v>
                </c:pt>
                <c:pt idx="709">
                  <c:v>43079</c:v>
                </c:pt>
                <c:pt idx="710">
                  <c:v>43080</c:v>
                </c:pt>
                <c:pt idx="711">
                  <c:v>43081</c:v>
                </c:pt>
                <c:pt idx="712">
                  <c:v>43082</c:v>
                </c:pt>
                <c:pt idx="713">
                  <c:v>43083</c:v>
                </c:pt>
                <c:pt idx="714">
                  <c:v>43084</c:v>
                </c:pt>
                <c:pt idx="715">
                  <c:v>43085</c:v>
                </c:pt>
                <c:pt idx="716">
                  <c:v>43086</c:v>
                </c:pt>
                <c:pt idx="717">
                  <c:v>43087</c:v>
                </c:pt>
                <c:pt idx="718">
                  <c:v>43088</c:v>
                </c:pt>
                <c:pt idx="719">
                  <c:v>43089</c:v>
                </c:pt>
                <c:pt idx="720">
                  <c:v>43090</c:v>
                </c:pt>
                <c:pt idx="721">
                  <c:v>43091</c:v>
                </c:pt>
                <c:pt idx="722">
                  <c:v>43092</c:v>
                </c:pt>
                <c:pt idx="723">
                  <c:v>43093</c:v>
                </c:pt>
                <c:pt idx="724">
                  <c:v>43094</c:v>
                </c:pt>
                <c:pt idx="725">
                  <c:v>43095</c:v>
                </c:pt>
                <c:pt idx="726">
                  <c:v>43096</c:v>
                </c:pt>
                <c:pt idx="727">
                  <c:v>43097</c:v>
                </c:pt>
                <c:pt idx="728">
                  <c:v>43098</c:v>
                </c:pt>
                <c:pt idx="729">
                  <c:v>43099</c:v>
                </c:pt>
                <c:pt idx="730">
                  <c:v>43100</c:v>
                </c:pt>
              </c:numCache>
            </c:numRef>
          </c:cat>
          <c:val>
            <c:numRef>
              <c:f>'Types of Charts'!$C$54:$C$784</c:f>
              <c:numCache>
                <c:formatCode>General</c:formatCode>
                <c:ptCount val="731"/>
                <c:pt idx="0">
                  <c:v>0.19</c:v>
                </c:pt>
                <c:pt idx="1">
                  <c:v>7.0000000000000007E-2</c:v>
                </c:pt>
                <c:pt idx="2">
                  <c:v>7.0000000000000007E-2</c:v>
                </c:pt>
                <c:pt idx="3">
                  <c:v>-0.11</c:v>
                </c:pt>
                <c:pt idx="4">
                  <c:v>0.09</c:v>
                </c:pt>
                <c:pt idx="5">
                  <c:v>0.02</c:v>
                </c:pt>
                <c:pt idx="6">
                  <c:v>-0.14000000000000001</c:v>
                </c:pt>
                <c:pt idx="7">
                  <c:v>0.03</c:v>
                </c:pt>
                <c:pt idx="8">
                  <c:v>-0.06</c:v>
                </c:pt>
                <c:pt idx="9">
                  <c:v>-0.01</c:v>
                </c:pt>
                <c:pt idx="10">
                  <c:v>0.06</c:v>
                </c:pt>
                <c:pt idx="11">
                  <c:v>0.04</c:v>
                </c:pt>
                <c:pt idx="12">
                  <c:v>-0.08</c:v>
                </c:pt>
                <c:pt idx="13">
                  <c:v>0.11</c:v>
                </c:pt>
                <c:pt idx="14">
                  <c:v>-0.15</c:v>
                </c:pt>
                <c:pt idx="15">
                  <c:v>-0.02</c:v>
                </c:pt>
                <c:pt idx="16">
                  <c:v>-7.0000000000000007E-2</c:v>
                </c:pt>
                <c:pt idx="17">
                  <c:v>0.14000000000000001</c:v>
                </c:pt>
                <c:pt idx="18">
                  <c:v>0.19</c:v>
                </c:pt>
                <c:pt idx="19">
                  <c:v>-0.06</c:v>
                </c:pt>
                <c:pt idx="20">
                  <c:v>-0.03</c:v>
                </c:pt>
                <c:pt idx="21">
                  <c:v>-0.05</c:v>
                </c:pt>
                <c:pt idx="22">
                  <c:v>0.1</c:v>
                </c:pt>
                <c:pt idx="23">
                  <c:v>-7.0000000000000007E-2</c:v>
                </c:pt>
                <c:pt idx="24">
                  <c:v>0.11</c:v>
                </c:pt>
                <c:pt idx="25">
                  <c:v>-0.1</c:v>
                </c:pt>
                <c:pt idx="26">
                  <c:v>-0.04</c:v>
                </c:pt>
                <c:pt idx="27">
                  <c:v>0.06</c:v>
                </c:pt>
                <c:pt idx="28">
                  <c:v>0</c:v>
                </c:pt>
                <c:pt idx="29">
                  <c:v>-0.12</c:v>
                </c:pt>
                <c:pt idx="30">
                  <c:v>0.01</c:v>
                </c:pt>
                <c:pt idx="31">
                  <c:v>-0.03</c:v>
                </c:pt>
                <c:pt idx="32">
                  <c:v>0.2</c:v>
                </c:pt>
                <c:pt idx="33">
                  <c:v>-0.05</c:v>
                </c:pt>
                <c:pt idx="34">
                  <c:v>0.04</c:v>
                </c:pt>
                <c:pt idx="35">
                  <c:v>-0.09</c:v>
                </c:pt>
                <c:pt idx="36">
                  <c:v>0.08</c:v>
                </c:pt>
                <c:pt idx="37">
                  <c:v>-0.04</c:v>
                </c:pt>
                <c:pt idx="38">
                  <c:v>0.06</c:v>
                </c:pt>
                <c:pt idx="39">
                  <c:v>0.01</c:v>
                </c:pt>
                <c:pt idx="40">
                  <c:v>0.09</c:v>
                </c:pt>
                <c:pt idx="41">
                  <c:v>-0.15</c:v>
                </c:pt>
                <c:pt idx="42">
                  <c:v>-0.04</c:v>
                </c:pt>
                <c:pt idx="43">
                  <c:v>0.2</c:v>
                </c:pt>
                <c:pt idx="44">
                  <c:v>0.17</c:v>
                </c:pt>
                <c:pt idx="45">
                  <c:v>-0.03</c:v>
                </c:pt>
                <c:pt idx="46">
                  <c:v>-0.12</c:v>
                </c:pt>
                <c:pt idx="47">
                  <c:v>-0.13</c:v>
                </c:pt>
                <c:pt idx="48">
                  <c:v>0.09</c:v>
                </c:pt>
                <c:pt idx="49">
                  <c:v>-0.06</c:v>
                </c:pt>
                <c:pt idx="50">
                  <c:v>-7.0000000000000007E-2</c:v>
                </c:pt>
                <c:pt idx="51">
                  <c:v>0.15</c:v>
                </c:pt>
                <c:pt idx="52">
                  <c:v>-0.09</c:v>
                </c:pt>
                <c:pt idx="53">
                  <c:v>-0.03</c:v>
                </c:pt>
                <c:pt idx="54">
                  <c:v>-0.04</c:v>
                </c:pt>
                <c:pt idx="55">
                  <c:v>0.11</c:v>
                </c:pt>
                <c:pt idx="56">
                  <c:v>0.14000000000000001</c:v>
                </c:pt>
                <c:pt idx="57">
                  <c:v>-0.01</c:v>
                </c:pt>
                <c:pt idx="58">
                  <c:v>0.19</c:v>
                </c:pt>
                <c:pt idx="59">
                  <c:v>-0.12</c:v>
                </c:pt>
                <c:pt idx="60">
                  <c:v>0.17</c:v>
                </c:pt>
                <c:pt idx="61">
                  <c:v>0.03</c:v>
                </c:pt>
                <c:pt idx="62">
                  <c:v>0.12</c:v>
                </c:pt>
                <c:pt idx="63">
                  <c:v>-0.03</c:v>
                </c:pt>
                <c:pt idx="64">
                  <c:v>-0.01</c:v>
                </c:pt>
                <c:pt idx="65">
                  <c:v>0.1</c:v>
                </c:pt>
                <c:pt idx="66">
                  <c:v>0.11</c:v>
                </c:pt>
                <c:pt idx="67">
                  <c:v>-0.14000000000000001</c:v>
                </c:pt>
                <c:pt idx="68">
                  <c:v>0.01</c:v>
                </c:pt>
                <c:pt idx="69">
                  <c:v>0.09</c:v>
                </c:pt>
                <c:pt idx="70">
                  <c:v>0.02</c:v>
                </c:pt>
                <c:pt idx="71">
                  <c:v>0.14000000000000001</c:v>
                </c:pt>
                <c:pt idx="72">
                  <c:v>-0.11</c:v>
                </c:pt>
                <c:pt idx="73">
                  <c:v>0.03</c:v>
                </c:pt>
                <c:pt idx="74">
                  <c:v>-0.15</c:v>
                </c:pt>
                <c:pt idx="75">
                  <c:v>0</c:v>
                </c:pt>
                <c:pt idx="76">
                  <c:v>-0.15</c:v>
                </c:pt>
                <c:pt idx="77">
                  <c:v>-7.0000000000000007E-2</c:v>
                </c:pt>
                <c:pt idx="78">
                  <c:v>0.06</c:v>
                </c:pt>
                <c:pt idx="79">
                  <c:v>0.13</c:v>
                </c:pt>
                <c:pt idx="80">
                  <c:v>0.02</c:v>
                </c:pt>
                <c:pt idx="81">
                  <c:v>0.04</c:v>
                </c:pt>
                <c:pt idx="82">
                  <c:v>0.01</c:v>
                </c:pt>
                <c:pt idx="83">
                  <c:v>-0.13</c:v>
                </c:pt>
                <c:pt idx="84">
                  <c:v>0.17</c:v>
                </c:pt>
                <c:pt idx="85">
                  <c:v>-0.03</c:v>
                </c:pt>
                <c:pt idx="86">
                  <c:v>-0.08</c:v>
                </c:pt>
                <c:pt idx="87">
                  <c:v>0.06</c:v>
                </c:pt>
                <c:pt idx="88">
                  <c:v>0.13</c:v>
                </c:pt>
                <c:pt idx="89">
                  <c:v>0.1</c:v>
                </c:pt>
                <c:pt idx="90">
                  <c:v>0</c:v>
                </c:pt>
                <c:pt idx="91">
                  <c:v>-0.02</c:v>
                </c:pt>
                <c:pt idx="92">
                  <c:v>0.1</c:v>
                </c:pt>
                <c:pt idx="93">
                  <c:v>-0.15</c:v>
                </c:pt>
                <c:pt idx="94">
                  <c:v>-7.0000000000000007E-2</c:v>
                </c:pt>
                <c:pt idx="95">
                  <c:v>0.15</c:v>
                </c:pt>
                <c:pt idx="96">
                  <c:v>0.14000000000000001</c:v>
                </c:pt>
                <c:pt idx="97">
                  <c:v>0.02</c:v>
                </c:pt>
                <c:pt idx="98">
                  <c:v>-0.1</c:v>
                </c:pt>
                <c:pt idx="99">
                  <c:v>-0.03</c:v>
                </c:pt>
                <c:pt idx="100">
                  <c:v>0</c:v>
                </c:pt>
                <c:pt idx="101">
                  <c:v>0.03</c:v>
                </c:pt>
                <c:pt idx="102">
                  <c:v>0.08</c:v>
                </c:pt>
                <c:pt idx="103">
                  <c:v>0.15</c:v>
                </c:pt>
                <c:pt idx="104">
                  <c:v>0.04</c:v>
                </c:pt>
                <c:pt idx="105">
                  <c:v>0.2</c:v>
                </c:pt>
                <c:pt idx="106">
                  <c:v>0.12</c:v>
                </c:pt>
                <c:pt idx="107">
                  <c:v>0.01</c:v>
                </c:pt>
                <c:pt idx="108">
                  <c:v>-0.04</c:v>
                </c:pt>
                <c:pt idx="109">
                  <c:v>-0.11</c:v>
                </c:pt>
                <c:pt idx="110">
                  <c:v>-0.15</c:v>
                </c:pt>
                <c:pt idx="111">
                  <c:v>0.02</c:v>
                </c:pt>
                <c:pt idx="112">
                  <c:v>-7.0000000000000007E-2</c:v>
                </c:pt>
                <c:pt idx="113">
                  <c:v>-0.11</c:v>
                </c:pt>
                <c:pt idx="114">
                  <c:v>7.0000000000000007E-2</c:v>
                </c:pt>
                <c:pt idx="115">
                  <c:v>-0.1</c:v>
                </c:pt>
                <c:pt idx="116">
                  <c:v>-0.06</c:v>
                </c:pt>
                <c:pt idx="117">
                  <c:v>0.16</c:v>
                </c:pt>
                <c:pt idx="118">
                  <c:v>0.13</c:v>
                </c:pt>
                <c:pt idx="119">
                  <c:v>-7.0000000000000007E-2</c:v>
                </c:pt>
                <c:pt idx="120">
                  <c:v>0.09</c:v>
                </c:pt>
                <c:pt idx="121">
                  <c:v>0.02</c:v>
                </c:pt>
                <c:pt idx="122">
                  <c:v>-0.13</c:v>
                </c:pt>
                <c:pt idx="123">
                  <c:v>0.13</c:v>
                </c:pt>
                <c:pt idx="124">
                  <c:v>0.02</c:v>
                </c:pt>
                <c:pt idx="125">
                  <c:v>0.09</c:v>
                </c:pt>
                <c:pt idx="126">
                  <c:v>-0.09</c:v>
                </c:pt>
                <c:pt idx="127">
                  <c:v>0.17</c:v>
                </c:pt>
                <c:pt idx="128">
                  <c:v>0.2</c:v>
                </c:pt>
                <c:pt idx="129">
                  <c:v>-0.03</c:v>
                </c:pt>
                <c:pt idx="130">
                  <c:v>0.19</c:v>
                </c:pt>
                <c:pt idx="131">
                  <c:v>0.05</c:v>
                </c:pt>
                <c:pt idx="132">
                  <c:v>0.08</c:v>
                </c:pt>
                <c:pt idx="133">
                  <c:v>0.05</c:v>
                </c:pt>
                <c:pt idx="134">
                  <c:v>0.2</c:v>
                </c:pt>
                <c:pt idx="135">
                  <c:v>0.01</c:v>
                </c:pt>
                <c:pt idx="136">
                  <c:v>-0.06</c:v>
                </c:pt>
                <c:pt idx="137">
                  <c:v>0.17</c:v>
                </c:pt>
                <c:pt idx="138">
                  <c:v>0.08</c:v>
                </c:pt>
                <c:pt idx="139">
                  <c:v>-0.15</c:v>
                </c:pt>
                <c:pt idx="140">
                  <c:v>0.1</c:v>
                </c:pt>
                <c:pt idx="141">
                  <c:v>0.04</c:v>
                </c:pt>
                <c:pt idx="142">
                  <c:v>-0.1</c:v>
                </c:pt>
                <c:pt idx="143">
                  <c:v>-0.06</c:v>
                </c:pt>
                <c:pt idx="144">
                  <c:v>0.02</c:v>
                </c:pt>
                <c:pt idx="145">
                  <c:v>-0.1</c:v>
                </c:pt>
                <c:pt idx="146">
                  <c:v>-0.1</c:v>
                </c:pt>
                <c:pt idx="147">
                  <c:v>-0.13</c:v>
                </c:pt>
                <c:pt idx="148">
                  <c:v>-0.01</c:v>
                </c:pt>
                <c:pt idx="149">
                  <c:v>-0.05</c:v>
                </c:pt>
                <c:pt idx="150">
                  <c:v>0.11</c:v>
                </c:pt>
                <c:pt idx="151">
                  <c:v>-0.06</c:v>
                </c:pt>
                <c:pt idx="152">
                  <c:v>0.08</c:v>
                </c:pt>
                <c:pt idx="153">
                  <c:v>0.14000000000000001</c:v>
                </c:pt>
                <c:pt idx="154">
                  <c:v>0.16</c:v>
                </c:pt>
                <c:pt idx="155">
                  <c:v>0.02</c:v>
                </c:pt>
                <c:pt idx="156">
                  <c:v>0.13</c:v>
                </c:pt>
                <c:pt idx="157">
                  <c:v>0.2</c:v>
                </c:pt>
                <c:pt idx="158">
                  <c:v>-0.14000000000000001</c:v>
                </c:pt>
                <c:pt idx="159">
                  <c:v>0.15</c:v>
                </c:pt>
                <c:pt idx="160">
                  <c:v>0.12</c:v>
                </c:pt>
                <c:pt idx="161">
                  <c:v>-0.14000000000000001</c:v>
                </c:pt>
                <c:pt idx="162">
                  <c:v>0.13</c:v>
                </c:pt>
                <c:pt idx="163">
                  <c:v>0.14000000000000001</c:v>
                </c:pt>
                <c:pt idx="164">
                  <c:v>0.13</c:v>
                </c:pt>
                <c:pt idx="165">
                  <c:v>-0.09</c:v>
                </c:pt>
                <c:pt idx="166">
                  <c:v>-0.13</c:v>
                </c:pt>
                <c:pt idx="167">
                  <c:v>-0.01</c:v>
                </c:pt>
                <c:pt idx="168">
                  <c:v>0.11</c:v>
                </c:pt>
                <c:pt idx="169">
                  <c:v>0.14000000000000001</c:v>
                </c:pt>
                <c:pt idx="170">
                  <c:v>0.08</c:v>
                </c:pt>
                <c:pt idx="171">
                  <c:v>-0.14000000000000001</c:v>
                </c:pt>
                <c:pt idx="172">
                  <c:v>0.13</c:v>
                </c:pt>
                <c:pt idx="173">
                  <c:v>0.15</c:v>
                </c:pt>
                <c:pt idx="174">
                  <c:v>-0.04</c:v>
                </c:pt>
                <c:pt idx="175">
                  <c:v>0.06</c:v>
                </c:pt>
                <c:pt idx="176">
                  <c:v>-0.09</c:v>
                </c:pt>
                <c:pt idx="177">
                  <c:v>0.09</c:v>
                </c:pt>
                <c:pt idx="178">
                  <c:v>0.17</c:v>
                </c:pt>
                <c:pt idx="179">
                  <c:v>0</c:v>
                </c:pt>
                <c:pt idx="180">
                  <c:v>0.1</c:v>
                </c:pt>
                <c:pt idx="181">
                  <c:v>-0.06</c:v>
                </c:pt>
                <c:pt idx="182">
                  <c:v>0.09</c:v>
                </c:pt>
                <c:pt idx="183">
                  <c:v>-0.03</c:v>
                </c:pt>
                <c:pt idx="184">
                  <c:v>-0.12</c:v>
                </c:pt>
                <c:pt idx="185">
                  <c:v>0.18</c:v>
                </c:pt>
                <c:pt idx="186">
                  <c:v>0.03</c:v>
                </c:pt>
                <c:pt idx="187">
                  <c:v>-0.08</c:v>
                </c:pt>
                <c:pt idx="188">
                  <c:v>-0.01</c:v>
                </c:pt>
                <c:pt idx="189">
                  <c:v>0</c:v>
                </c:pt>
                <c:pt idx="190">
                  <c:v>0.11</c:v>
                </c:pt>
                <c:pt idx="191">
                  <c:v>0.1</c:v>
                </c:pt>
                <c:pt idx="192">
                  <c:v>0.01</c:v>
                </c:pt>
                <c:pt idx="193">
                  <c:v>0.03</c:v>
                </c:pt>
                <c:pt idx="194">
                  <c:v>0.19</c:v>
                </c:pt>
                <c:pt idx="195">
                  <c:v>0.01</c:v>
                </c:pt>
                <c:pt idx="196">
                  <c:v>-7.0000000000000007E-2</c:v>
                </c:pt>
                <c:pt idx="197">
                  <c:v>0.14000000000000001</c:v>
                </c:pt>
                <c:pt idx="198">
                  <c:v>-0.06</c:v>
                </c:pt>
                <c:pt idx="199">
                  <c:v>0.13</c:v>
                </c:pt>
                <c:pt idx="200">
                  <c:v>0.03</c:v>
                </c:pt>
                <c:pt idx="201">
                  <c:v>0.02</c:v>
                </c:pt>
                <c:pt idx="202">
                  <c:v>0.14000000000000001</c:v>
                </c:pt>
                <c:pt idx="203">
                  <c:v>0.03</c:v>
                </c:pt>
                <c:pt idx="204">
                  <c:v>0.06</c:v>
                </c:pt>
                <c:pt idx="205">
                  <c:v>-0.06</c:v>
                </c:pt>
                <c:pt idx="206">
                  <c:v>0.06</c:v>
                </c:pt>
                <c:pt idx="207">
                  <c:v>0.04</c:v>
                </c:pt>
                <c:pt idx="208">
                  <c:v>0.19</c:v>
                </c:pt>
                <c:pt idx="209">
                  <c:v>0.06</c:v>
                </c:pt>
                <c:pt idx="210">
                  <c:v>0.2</c:v>
                </c:pt>
                <c:pt idx="211">
                  <c:v>7.0000000000000007E-2</c:v>
                </c:pt>
                <c:pt idx="212">
                  <c:v>-0.1</c:v>
                </c:pt>
                <c:pt idx="213">
                  <c:v>-0.06</c:v>
                </c:pt>
                <c:pt idx="214">
                  <c:v>0.12</c:v>
                </c:pt>
                <c:pt idx="215">
                  <c:v>-0.08</c:v>
                </c:pt>
                <c:pt idx="216">
                  <c:v>0.18</c:v>
                </c:pt>
                <c:pt idx="217">
                  <c:v>-0.13</c:v>
                </c:pt>
                <c:pt idx="218">
                  <c:v>-0.06</c:v>
                </c:pt>
                <c:pt idx="219">
                  <c:v>0.09</c:v>
                </c:pt>
                <c:pt idx="220">
                  <c:v>0.01</c:v>
                </c:pt>
                <c:pt idx="221">
                  <c:v>0.1</c:v>
                </c:pt>
                <c:pt idx="222">
                  <c:v>0.04</c:v>
                </c:pt>
                <c:pt idx="223">
                  <c:v>0.06</c:v>
                </c:pt>
                <c:pt idx="224">
                  <c:v>-0.14000000000000001</c:v>
                </c:pt>
                <c:pt idx="225">
                  <c:v>-0.03</c:v>
                </c:pt>
                <c:pt idx="226">
                  <c:v>0</c:v>
                </c:pt>
                <c:pt idx="227">
                  <c:v>0.16</c:v>
                </c:pt>
                <c:pt idx="228">
                  <c:v>-0.02</c:v>
                </c:pt>
                <c:pt idx="229">
                  <c:v>0.15</c:v>
                </c:pt>
                <c:pt idx="230">
                  <c:v>-0.01</c:v>
                </c:pt>
                <c:pt idx="231">
                  <c:v>-0.09</c:v>
                </c:pt>
                <c:pt idx="232">
                  <c:v>0.2</c:v>
                </c:pt>
                <c:pt idx="233">
                  <c:v>0.14000000000000001</c:v>
                </c:pt>
                <c:pt idx="234">
                  <c:v>0.06</c:v>
                </c:pt>
                <c:pt idx="235">
                  <c:v>0.12</c:v>
                </c:pt>
                <c:pt idx="236">
                  <c:v>0.01</c:v>
                </c:pt>
                <c:pt idx="237">
                  <c:v>-0.13</c:v>
                </c:pt>
                <c:pt idx="238">
                  <c:v>-0.05</c:v>
                </c:pt>
                <c:pt idx="239">
                  <c:v>-0.05</c:v>
                </c:pt>
                <c:pt idx="240">
                  <c:v>-0.09</c:v>
                </c:pt>
                <c:pt idx="241">
                  <c:v>-0.04</c:v>
                </c:pt>
                <c:pt idx="242">
                  <c:v>0.19</c:v>
                </c:pt>
                <c:pt idx="243">
                  <c:v>-0.11</c:v>
                </c:pt>
                <c:pt idx="244">
                  <c:v>0.05</c:v>
                </c:pt>
                <c:pt idx="245">
                  <c:v>-7.0000000000000007E-2</c:v>
                </c:pt>
                <c:pt idx="246">
                  <c:v>0.13</c:v>
                </c:pt>
                <c:pt idx="247">
                  <c:v>-0.11</c:v>
                </c:pt>
                <c:pt idx="248">
                  <c:v>0.18</c:v>
                </c:pt>
                <c:pt idx="249">
                  <c:v>-0.15</c:v>
                </c:pt>
                <c:pt idx="250">
                  <c:v>0.19</c:v>
                </c:pt>
                <c:pt idx="251">
                  <c:v>0.19</c:v>
                </c:pt>
                <c:pt idx="252">
                  <c:v>-0.14000000000000001</c:v>
                </c:pt>
                <c:pt idx="253">
                  <c:v>-0.13</c:v>
                </c:pt>
                <c:pt idx="254">
                  <c:v>0.19</c:v>
                </c:pt>
                <c:pt idx="255">
                  <c:v>0.01</c:v>
                </c:pt>
                <c:pt idx="256">
                  <c:v>0.09</c:v>
                </c:pt>
                <c:pt idx="257">
                  <c:v>-0.09</c:v>
                </c:pt>
                <c:pt idx="258">
                  <c:v>0.06</c:v>
                </c:pt>
                <c:pt idx="259">
                  <c:v>-0.02</c:v>
                </c:pt>
                <c:pt idx="260">
                  <c:v>-0.13</c:v>
                </c:pt>
                <c:pt idx="261">
                  <c:v>0.13</c:v>
                </c:pt>
                <c:pt idx="262">
                  <c:v>-0.15</c:v>
                </c:pt>
                <c:pt idx="263">
                  <c:v>-0.04</c:v>
                </c:pt>
                <c:pt idx="264">
                  <c:v>0.01</c:v>
                </c:pt>
                <c:pt idx="265">
                  <c:v>-0.11</c:v>
                </c:pt>
                <c:pt idx="266">
                  <c:v>-0.08</c:v>
                </c:pt>
                <c:pt idx="267">
                  <c:v>0.13</c:v>
                </c:pt>
                <c:pt idx="268">
                  <c:v>0.06</c:v>
                </c:pt>
                <c:pt idx="269">
                  <c:v>0.12</c:v>
                </c:pt>
                <c:pt idx="270">
                  <c:v>-0.12</c:v>
                </c:pt>
                <c:pt idx="271">
                  <c:v>0</c:v>
                </c:pt>
                <c:pt idx="272">
                  <c:v>0.16</c:v>
                </c:pt>
                <c:pt idx="273">
                  <c:v>0.03</c:v>
                </c:pt>
                <c:pt idx="274">
                  <c:v>-7.0000000000000007E-2</c:v>
                </c:pt>
                <c:pt idx="275">
                  <c:v>0.09</c:v>
                </c:pt>
                <c:pt idx="276">
                  <c:v>-0.11</c:v>
                </c:pt>
                <c:pt idx="277">
                  <c:v>-7.0000000000000007E-2</c:v>
                </c:pt>
                <c:pt idx="278">
                  <c:v>-0.11</c:v>
                </c:pt>
                <c:pt idx="279">
                  <c:v>-0.06</c:v>
                </c:pt>
                <c:pt idx="280">
                  <c:v>-0.1</c:v>
                </c:pt>
                <c:pt idx="281">
                  <c:v>0.12</c:v>
                </c:pt>
                <c:pt idx="282">
                  <c:v>0.19</c:v>
                </c:pt>
                <c:pt idx="283">
                  <c:v>-0.03</c:v>
                </c:pt>
                <c:pt idx="284">
                  <c:v>-0.1</c:v>
                </c:pt>
                <c:pt idx="285">
                  <c:v>0.08</c:v>
                </c:pt>
                <c:pt idx="286">
                  <c:v>-0.03</c:v>
                </c:pt>
                <c:pt idx="287">
                  <c:v>-0.01</c:v>
                </c:pt>
                <c:pt idx="288">
                  <c:v>-0.04</c:v>
                </c:pt>
                <c:pt idx="289">
                  <c:v>-0.12</c:v>
                </c:pt>
                <c:pt idx="290">
                  <c:v>7.0000000000000007E-2</c:v>
                </c:pt>
                <c:pt idx="291">
                  <c:v>-0.11</c:v>
                </c:pt>
                <c:pt idx="292">
                  <c:v>-0.08</c:v>
                </c:pt>
                <c:pt idx="293">
                  <c:v>0.02</c:v>
                </c:pt>
                <c:pt idx="294">
                  <c:v>-0.01</c:v>
                </c:pt>
                <c:pt idx="295">
                  <c:v>0.02</c:v>
                </c:pt>
                <c:pt idx="296">
                  <c:v>0.12</c:v>
                </c:pt>
                <c:pt idx="297">
                  <c:v>0.06</c:v>
                </c:pt>
                <c:pt idx="298">
                  <c:v>-0.03</c:v>
                </c:pt>
                <c:pt idx="299">
                  <c:v>-0.14000000000000001</c:v>
                </c:pt>
                <c:pt idx="300">
                  <c:v>-0.14000000000000001</c:v>
                </c:pt>
                <c:pt idx="301">
                  <c:v>-0.12</c:v>
                </c:pt>
                <c:pt idx="302">
                  <c:v>-0.11</c:v>
                </c:pt>
                <c:pt idx="303">
                  <c:v>0.03</c:v>
                </c:pt>
                <c:pt idx="304">
                  <c:v>0.13</c:v>
                </c:pt>
                <c:pt idx="305">
                  <c:v>0.2</c:v>
                </c:pt>
                <c:pt idx="306">
                  <c:v>0.11</c:v>
                </c:pt>
                <c:pt idx="307">
                  <c:v>0.19</c:v>
                </c:pt>
                <c:pt idx="308">
                  <c:v>0.04</c:v>
                </c:pt>
                <c:pt idx="309">
                  <c:v>-0.02</c:v>
                </c:pt>
                <c:pt idx="310">
                  <c:v>0.17</c:v>
                </c:pt>
                <c:pt idx="311">
                  <c:v>-0.01</c:v>
                </c:pt>
                <c:pt idx="312">
                  <c:v>0.13</c:v>
                </c:pt>
                <c:pt idx="313">
                  <c:v>7.0000000000000007E-2</c:v>
                </c:pt>
                <c:pt idx="314">
                  <c:v>0.08</c:v>
                </c:pt>
                <c:pt idx="315">
                  <c:v>-0.06</c:v>
                </c:pt>
                <c:pt idx="316">
                  <c:v>7.0000000000000007E-2</c:v>
                </c:pt>
                <c:pt idx="317">
                  <c:v>0.12</c:v>
                </c:pt>
                <c:pt idx="318">
                  <c:v>-0.01</c:v>
                </c:pt>
                <c:pt idx="319">
                  <c:v>0.06</c:v>
                </c:pt>
                <c:pt idx="320">
                  <c:v>-0.06</c:v>
                </c:pt>
                <c:pt idx="321">
                  <c:v>-0.11</c:v>
                </c:pt>
                <c:pt idx="322">
                  <c:v>-0.03</c:v>
                </c:pt>
                <c:pt idx="323">
                  <c:v>0.15</c:v>
                </c:pt>
                <c:pt idx="324">
                  <c:v>-0.13</c:v>
                </c:pt>
                <c:pt idx="325">
                  <c:v>-0.1</c:v>
                </c:pt>
                <c:pt idx="326">
                  <c:v>-0.02</c:v>
                </c:pt>
                <c:pt idx="327">
                  <c:v>0.09</c:v>
                </c:pt>
                <c:pt idx="328">
                  <c:v>0.09</c:v>
                </c:pt>
                <c:pt idx="329">
                  <c:v>0.1</c:v>
                </c:pt>
                <c:pt idx="330">
                  <c:v>0.16</c:v>
                </c:pt>
                <c:pt idx="331">
                  <c:v>-0.11</c:v>
                </c:pt>
                <c:pt idx="332">
                  <c:v>-0.11</c:v>
                </c:pt>
                <c:pt idx="333">
                  <c:v>0.14000000000000001</c:v>
                </c:pt>
                <c:pt idx="334">
                  <c:v>0.02</c:v>
                </c:pt>
                <c:pt idx="335">
                  <c:v>0.01</c:v>
                </c:pt>
                <c:pt idx="336">
                  <c:v>0.06</c:v>
                </c:pt>
                <c:pt idx="337">
                  <c:v>0.09</c:v>
                </c:pt>
                <c:pt idx="338">
                  <c:v>-0.12</c:v>
                </c:pt>
                <c:pt idx="339">
                  <c:v>-0.02</c:v>
                </c:pt>
                <c:pt idx="340">
                  <c:v>-0.1</c:v>
                </c:pt>
                <c:pt idx="341">
                  <c:v>0.09</c:v>
                </c:pt>
                <c:pt idx="342">
                  <c:v>-0.1</c:v>
                </c:pt>
                <c:pt idx="343">
                  <c:v>-0.13</c:v>
                </c:pt>
                <c:pt idx="344">
                  <c:v>7.0000000000000007E-2</c:v>
                </c:pt>
                <c:pt idx="345">
                  <c:v>-0.14000000000000001</c:v>
                </c:pt>
                <c:pt idx="346">
                  <c:v>-7.0000000000000007E-2</c:v>
                </c:pt>
                <c:pt idx="347">
                  <c:v>0.14000000000000001</c:v>
                </c:pt>
                <c:pt idx="348">
                  <c:v>-0.06</c:v>
                </c:pt>
                <c:pt idx="349">
                  <c:v>-0.04</c:v>
                </c:pt>
                <c:pt idx="350">
                  <c:v>0.13</c:v>
                </c:pt>
                <c:pt idx="351">
                  <c:v>0.2</c:v>
                </c:pt>
                <c:pt idx="352">
                  <c:v>0.08</c:v>
                </c:pt>
                <c:pt idx="353">
                  <c:v>0.05</c:v>
                </c:pt>
                <c:pt idx="354">
                  <c:v>0.17</c:v>
                </c:pt>
                <c:pt idx="355">
                  <c:v>-0.12</c:v>
                </c:pt>
                <c:pt idx="356">
                  <c:v>-0.03</c:v>
                </c:pt>
                <c:pt idx="357">
                  <c:v>-0.11</c:v>
                </c:pt>
                <c:pt idx="358">
                  <c:v>-0.14000000000000001</c:v>
                </c:pt>
                <c:pt idx="359">
                  <c:v>0</c:v>
                </c:pt>
                <c:pt idx="360">
                  <c:v>-0.12</c:v>
                </c:pt>
                <c:pt idx="361">
                  <c:v>0</c:v>
                </c:pt>
                <c:pt idx="362">
                  <c:v>-0.03</c:v>
                </c:pt>
                <c:pt idx="363">
                  <c:v>0.11</c:v>
                </c:pt>
                <c:pt idx="364">
                  <c:v>0.09</c:v>
                </c:pt>
                <c:pt idx="365">
                  <c:v>7.0000000000000007E-2</c:v>
                </c:pt>
                <c:pt idx="366">
                  <c:v>-0.15</c:v>
                </c:pt>
                <c:pt idx="367">
                  <c:v>-0.08</c:v>
                </c:pt>
                <c:pt idx="368">
                  <c:v>-0.09</c:v>
                </c:pt>
                <c:pt idx="369">
                  <c:v>0.2</c:v>
                </c:pt>
                <c:pt idx="370">
                  <c:v>0.16</c:v>
                </c:pt>
                <c:pt idx="371">
                  <c:v>0.15</c:v>
                </c:pt>
                <c:pt idx="372">
                  <c:v>0.14000000000000001</c:v>
                </c:pt>
                <c:pt idx="373">
                  <c:v>0.08</c:v>
                </c:pt>
                <c:pt idx="374">
                  <c:v>0.04</c:v>
                </c:pt>
                <c:pt idx="375">
                  <c:v>0.06</c:v>
                </c:pt>
                <c:pt idx="376">
                  <c:v>0</c:v>
                </c:pt>
                <c:pt idx="377">
                  <c:v>7.0000000000000007E-2</c:v>
                </c:pt>
                <c:pt idx="378">
                  <c:v>0.03</c:v>
                </c:pt>
                <c:pt idx="379">
                  <c:v>-0.14000000000000001</c:v>
                </c:pt>
                <c:pt idx="380">
                  <c:v>-0.12</c:v>
                </c:pt>
                <c:pt idx="381">
                  <c:v>-0.06</c:v>
                </c:pt>
                <c:pt idx="382">
                  <c:v>-0.02</c:v>
                </c:pt>
                <c:pt idx="383">
                  <c:v>-0.12</c:v>
                </c:pt>
                <c:pt idx="384">
                  <c:v>-0.09</c:v>
                </c:pt>
                <c:pt idx="385">
                  <c:v>-0.11</c:v>
                </c:pt>
                <c:pt idx="386">
                  <c:v>0.09</c:v>
                </c:pt>
                <c:pt idx="387">
                  <c:v>0.01</c:v>
                </c:pt>
                <c:pt idx="388">
                  <c:v>0.12</c:v>
                </c:pt>
                <c:pt idx="389">
                  <c:v>-0.04</c:v>
                </c:pt>
                <c:pt idx="390">
                  <c:v>0.12</c:v>
                </c:pt>
                <c:pt idx="391">
                  <c:v>0.2</c:v>
                </c:pt>
                <c:pt idx="392">
                  <c:v>0.03</c:v>
                </c:pt>
                <c:pt idx="393">
                  <c:v>0.11</c:v>
                </c:pt>
                <c:pt idx="394">
                  <c:v>0.14000000000000001</c:v>
                </c:pt>
                <c:pt idx="395">
                  <c:v>-0.09</c:v>
                </c:pt>
                <c:pt idx="396">
                  <c:v>-0.01</c:v>
                </c:pt>
                <c:pt idx="397">
                  <c:v>0.17</c:v>
                </c:pt>
                <c:pt idx="398">
                  <c:v>-0.05</c:v>
                </c:pt>
                <c:pt idx="399">
                  <c:v>0.01</c:v>
                </c:pt>
                <c:pt idx="400">
                  <c:v>-0.02</c:v>
                </c:pt>
                <c:pt idx="401">
                  <c:v>-7.0000000000000007E-2</c:v>
                </c:pt>
                <c:pt idx="402">
                  <c:v>0.09</c:v>
                </c:pt>
                <c:pt idx="403">
                  <c:v>-0.01</c:v>
                </c:pt>
                <c:pt idx="404">
                  <c:v>0.16</c:v>
                </c:pt>
                <c:pt idx="405">
                  <c:v>0.06</c:v>
                </c:pt>
                <c:pt idx="406">
                  <c:v>0.1</c:v>
                </c:pt>
                <c:pt idx="407">
                  <c:v>-0.03</c:v>
                </c:pt>
                <c:pt idx="408">
                  <c:v>0.04</c:v>
                </c:pt>
                <c:pt idx="409">
                  <c:v>0.06</c:v>
                </c:pt>
                <c:pt idx="410">
                  <c:v>-0.02</c:v>
                </c:pt>
                <c:pt idx="411">
                  <c:v>0</c:v>
                </c:pt>
                <c:pt idx="412">
                  <c:v>0.08</c:v>
                </c:pt>
                <c:pt idx="413">
                  <c:v>-0.02</c:v>
                </c:pt>
                <c:pt idx="414">
                  <c:v>-0.06</c:v>
                </c:pt>
                <c:pt idx="415">
                  <c:v>-0.09</c:v>
                </c:pt>
                <c:pt idx="416">
                  <c:v>0.18</c:v>
                </c:pt>
                <c:pt idx="417">
                  <c:v>0.13</c:v>
                </c:pt>
                <c:pt idx="418">
                  <c:v>0.18</c:v>
                </c:pt>
                <c:pt idx="419">
                  <c:v>7.0000000000000007E-2</c:v>
                </c:pt>
                <c:pt idx="420">
                  <c:v>-0.13</c:v>
                </c:pt>
                <c:pt idx="421">
                  <c:v>0.09</c:v>
                </c:pt>
                <c:pt idx="422">
                  <c:v>-0.05</c:v>
                </c:pt>
                <c:pt idx="423">
                  <c:v>0.01</c:v>
                </c:pt>
                <c:pt idx="424">
                  <c:v>0.02</c:v>
                </c:pt>
                <c:pt idx="425">
                  <c:v>-0.05</c:v>
                </c:pt>
                <c:pt idx="426">
                  <c:v>0</c:v>
                </c:pt>
                <c:pt idx="427">
                  <c:v>-0.02</c:v>
                </c:pt>
                <c:pt idx="428">
                  <c:v>-0.09</c:v>
                </c:pt>
                <c:pt idx="429">
                  <c:v>-0.04</c:v>
                </c:pt>
                <c:pt idx="430">
                  <c:v>7.0000000000000007E-2</c:v>
                </c:pt>
                <c:pt idx="431">
                  <c:v>0.12</c:v>
                </c:pt>
                <c:pt idx="432">
                  <c:v>0</c:v>
                </c:pt>
                <c:pt idx="433">
                  <c:v>-0.08</c:v>
                </c:pt>
                <c:pt idx="434">
                  <c:v>0.17</c:v>
                </c:pt>
                <c:pt idx="435">
                  <c:v>-0.05</c:v>
                </c:pt>
                <c:pt idx="436">
                  <c:v>-0.01</c:v>
                </c:pt>
                <c:pt idx="437">
                  <c:v>-0.02</c:v>
                </c:pt>
                <c:pt idx="438">
                  <c:v>-0.03</c:v>
                </c:pt>
                <c:pt idx="439">
                  <c:v>-0.12</c:v>
                </c:pt>
                <c:pt idx="440">
                  <c:v>0.14000000000000001</c:v>
                </c:pt>
                <c:pt idx="441">
                  <c:v>-0.09</c:v>
                </c:pt>
                <c:pt idx="442">
                  <c:v>0.02</c:v>
                </c:pt>
                <c:pt idx="443">
                  <c:v>0.11</c:v>
                </c:pt>
                <c:pt idx="444">
                  <c:v>0</c:v>
                </c:pt>
                <c:pt idx="445">
                  <c:v>-0.06</c:v>
                </c:pt>
                <c:pt idx="446">
                  <c:v>-0.15</c:v>
                </c:pt>
                <c:pt idx="447">
                  <c:v>0</c:v>
                </c:pt>
                <c:pt idx="448">
                  <c:v>0.06</c:v>
                </c:pt>
                <c:pt idx="449">
                  <c:v>0.1</c:v>
                </c:pt>
                <c:pt idx="450">
                  <c:v>0.01</c:v>
                </c:pt>
                <c:pt idx="451">
                  <c:v>-0.06</c:v>
                </c:pt>
                <c:pt idx="452">
                  <c:v>7.0000000000000007E-2</c:v>
                </c:pt>
                <c:pt idx="453">
                  <c:v>0.17</c:v>
                </c:pt>
                <c:pt idx="454">
                  <c:v>-0.04</c:v>
                </c:pt>
                <c:pt idx="455">
                  <c:v>0</c:v>
                </c:pt>
                <c:pt idx="456">
                  <c:v>7.0000000000000007E-2</c:v>
                </c:pt>
                <c:pt idx="457">
                  <c:v>-0.13</c:v>
                </c:pt>
                <c:pt idx="458">
                  <c:v>-0.05</c:v>
                </c:pt>
                <c:pt idx="459">
                  <c:v>0.14000000000000001</c:v>
                </c:pt>
                <c:pt idx="460">
                  <c:v>-0.11</c:v>
                </c:pt>
                <c:pt idx="461">
                  <c:v>0</c:v>
                </c:pt>
                <c:pt idx="462">
                  <c:v>0</c:v>
                </c:pt>
                <c:pt idx="463">
                  <c:v>0.17</c:v>
                </c:pt>
                <c:pt idx="464">
                  <c:v>-0.04</c:v>
                </c:pt>
                <c:pt idx="465">
                  <c:v>0</c:v>
                </c:pt>
                <c:pt idx="466">
                  <c:v>-0.08</c:v>
                </c:pt>
                <c:pt idx="467">
                  <c:v>0.14000000000000001</c:v>
                </c:pt>
                <c:pt idx="468">
                  <c:v>0.2</c:v>
                </c:pt>
                <c:pt idx="469">
                  <c:v>-0.03</c:v>
                </c:pt>
                <c:pt idx="470">
                  <c:v>-7.0000000000000007E-2</c:v>
                </c:pt>
                <c:pt idx="471">
                  <c:v>0.17</c:v>
                </c:pt>
                <c:pt idx="472">
                  <c:v>0.06</c:v>
                </c:pt>
                <c:pt idx="473">
                  <c:v>0.04</c:v>
                </c:pt>
                <c:pt idx="474">
                  <c:v>0.17</c:v>
                </c:pt>
                <c:pt idx="475">
                  <c:v>0.01</c:v>
                </c:pt>
                <c:pt idx="476">
                  <c:v>-0.15</c:v>
                </c:pt>
                <c:pt idx="477">
                  <c:v>-0.09</c:v>
                </c:pt>
                <c:pt idx="478">
                  <c:v>-7.0000000000000007E-2</c:v>
                </c:pt>
                <c:pt idx="479">
                  <c:v>-0.12</c:v>
                </c:pt>
                <c:pt idx="480">
                  <c:v>0.1</c:v>
                </c:pt>
                <c:pt idx="481">
                  <c:v>-0.01</c:v>
                </c:pt>
                <c:pt idx="482">
                  <c:v>-0.05</c:v>
                </c:pt>
                <c:pt idx="483">
                  <c:v>0.16</c:v>
                </c:pt>
                <c:pt idx="484">
                  <c:v>0.06</c:v>
                </c:pt>
                <c:pt idx="485">
                  <c:v>-0.04</c:v>
                </c:pt>
                <c:pt idx="486">
                  <c:v>0.2</c:v>
                </c:pt>
                <c:pt idx="487">
                  <c:v>0.13</c:v>
                </c:pt>
                <c:pt idx="488">
                  <c:v>-0.09</c:v>
                </c:pt>
                <c:pt idx="489">
                  <c:v>7.0000000000000007E-2</c:v>
                </c:pt>
                <c:pt idx="490">
                  <c:v>0.15</c:v>
                </c:pt>
                <c:pt idx="491">
                  <c:v>-0.14000000000000001</c:v>
                </c:pt>
                <c:pt idx="492">
                  <c:v>0.1</c:v>
                </c:pt>
                <c:pt idx="493">
                  <c:v>0.16</c:v>
                </c:pt>
                <c:pt idx="494">
                  <c:v>-0.09</c:v>
                </c:pt>
                <c:pt idx="495">
                  <c:v>0.15</c:v>
                </c:pt>
                <c:pt idx="496">
                  <c:v>-0.05</c:v>
                </c:pt>
                <c:pt idx="497">
                  <c:v>-0.03</c:v>
                </c:pt>
                <c:pt idx="498">
                  <c:v>-0.08</c:v>
                </c:pt>
                <c:pt idx="499">
                  <c:v>-0.05</c:v>
                </c:pt>
                <c:pt idx="500">
                  <c:v>-7.0000000000000007E-2</c:v>
                </c:pt>
                <c:pt idx="501">
                  <c:v>-0.13</c:v>
                </c:pt>
                <c:pt idx="502">
                  <c:v>-0.08</c:v>
                </c:pt>
                <c:pt idx="503">
                  <c:v>0.01</c:v>
                </c:pt>
                <c:pt idx="504">
                  <c:v>0.01</c:v>
                </c:pt>
                <c:pt idx="505">
                  <c:v>0.02</c:v>
                </c:pt>
                <c:pt idx="506">
                  <c:v>-0.01</c:v>
                </c:pt>
                <c:pt idx="507">
                  <c:v>-0.01</c:v>
                </c:pt>
                <c:pt idx="508">
                  <c:v>0.06</c:v>
                </c:pt>
                <c:pt idx="509">
                  <c:v>-0.02</c:v>
                </c:pt>
                <c:pt idx="510">
                  <c:v>0.01</c:v>
                </c:pt>
                <c:pt idx="511">
                  <c:v>0.09</c:v>
                </c:pt>
                <c:pt idx="512">
                  <c:v>0.19</c:v>
                </c:pt>
                <c:pt idx="513">
                  <c:v>-0.14000000000000001</c:v>
                </c:pt>
                <c:pt idx="514">
                  <c:v>0.04</c:v>
                </c:pt>
                <c:pt idx="515">
                  <c:v>0.18</c:v>
                </c:pt>
                <c:pt idx="516">
                  <c:v>0.03</c:v>
                </c:pt>
                <c:pt idx="517">
                  <c:v>0.14000000000000001</c:v>
                </c:pt>
                <c:pt idx="518">
                  <c:v>0.2</c:v>
                </c:pt>
                <c:pt idx="519">
                  <c:v>-0.09</c:v>
                </c:pt>
                <c:pt idx="520">
                  <c:v>-7.0000000000000007E-2</c:v>
                </c:pt>
                <c:pt idx="521">
                  <c:v>0.13</c:v>
                </c:pt>
                <c:pt idx="522">
                  <c:v>0.17</c:v>
                </c:pt>
                <c:pt idx="523">
                  <c:v>0.12</c:v>
                </c:pt>
                <c:pt idx="524">
                  <c:v>0.04</c:v>
                </c:pt>
                <c:pt idx="525">
                  <c:v>-0.04</c:v>
                </c:pt>
                <c:pt idx="526">
                  <c:v>-0.01</c:v>
                </c:pt>
                <c:pt idx="527">
                  <c:v>-0.14000000000000001</c:v>
                </c:pt>
                <c:pt idx="528">
                  <c:v>0.2</c:v>
                </c:pt>
                <c:pt idx="529">
                  <c:v>7.0000000000000007E-2</c:v>
                </c:pt>
                <c:pt idx="530">
                  <c:v>-0.04</c:v>
                </c:pt>
                <c:pt idx="531">
                  <c:v>0.01</c:v>
                </c:pt>
                <c:pt idx="532">
                  <c:v>-0.09</c:v>
                </c:pt>
                <c:pt idx="533">
                  <c:v>-0.02</c:v>
                </c:pt>
                <c:pt idx="534">
                  <c:v>-0.03</c:v>
                </c:pt>
                <c:pt idx="535">
                  <c:v>0.13</c:v>
                </c:pt>
                <c:pt idx="536">
                  <c:v>-0.05</c:v>
                </c:pt>
                <c:pt idx="537">
                  <c:v>0.16</c:v>
                </c:pt>
                <c:pt idx="538">
                  <c:v>0.03</c:v>
                </c:pt>
                <c:pt idx="539">
                  <c:v>-0.12</c:v>
                </c:pt>
                <c:pt idx="540">
                  <c:v>0</c:v>
                </c:pt>
                <c:pt idx="541">
                  <c:v>-0.13</c:v>
                </c:pt>
                <c:pt idx="542">
                  <c:v>0.13</c:v>
                </c:pt>
                <c:pt idx="543">
                  <c:v>0.05</c:v>
                </c:pt>
                <c:pt idx="544">
                  <c:v>-0.02</c:v>
                </c:pt>
                <c:pt idx="545">
                  <c:v>0.08</c:v>
                </c:pt>
                <c:pt idx="546">
                  <c:v>0.06</c:v>
                </c:pt>
                <c:pt idx="547">
                  <c:v>-0.01</c:v>
                </c:pt>
                <c:pt idx="548">
                  <c:v>-0.12</c:v>
                </c:pt>
                <c:pt idx="549">
                  <c:v>-0.05</c:v>
                </c:pt>
                <c:pt idx="550">
                  <c:v>0.1</c:v>
                </c:pt>
                <c:pt idx="551">
                  <c:v>-0.1</c:v>
                </c:pt>
                <c:pt idx="552">
                  <c:v>0.08</c:v>
                </c:pt>
                <c:pt idx="553">
                  <c:v>0.12</c:v>
                </c:pt>
                <c:pt idx="554">
                  <c:v>0.2</c:v>
                </c:pt>
                <c:pt idx="555">
                  <c:v>-0.1</c:v>
                </c:pt>
                <c:pt idx="556">
                  <c:v>-0.01</c:v>
                </c:pt>
                <c:pt idx="557">
                  <c:v>7.0000000000000007E-2</c:v>
                </c:pt>
                <c:pt idx="558">
                  <c:v>-0.12</c:v>
                </c:pt>
                <c:pt idx="559">
                  <c:v>0.09</c:v>
                </c:pt>
                <c:pt idx="560">
                  <c:v>-0.12</c:v>
                </c:pt>
                <c:pt idx="561">
                  <c:v>-0.05</c:v>
                </c:pt>
                <c:pt idx="562">
                  <c:v>0.14000000000000001</c:v>
                </c:pt>
                <c:pt idx="563">
                  <c:v>0.14000000000000001</c:v>
                </c:pt>
                <c:pt idx="564">
                  <c:v>-0.04</c:v>
                </c:pt>
                <c:pt idx="565">
                  <c:v>0.2</c:v>
                </c:pt>
                <c:pt idx="566">
                  <c:v>0.03</c:v>
                </c:pt>
                <c:pt idx="567">
                  <c:v>-0.01</c:v>
                </c:pt>
                <c:pt idx="568">
                  <c:v>0.05</c:v>
                </c:pt>
                <c:pt idx="569">
                  <c:v>-0.11</c:v>
                </c:pt>
                <c:pt idx="570">
                  <c:v>-0.02</c:v>
                </c:pt>
                <c:pt idx="571">
                  <c:v>0.06</c:v>
                </c:pt>
                <c:pt idx="572">
                  <c:v>0</c:v>
                </c:pt>
                <c:pt idx="573">
                  <c:v>-0.09</c:v>
                </c:pt>
                <c:pt idx="574">
                  <c:v>-0.01</c:v>
                </c:pt>
                <c:pt idx="575">
                  <c:v>0.15</c:v>
                </c:pt>
                <c:pt idx="576">
                  <c:v>-0.08</c:v>
                </c:pt>
                <c:pt idx="577">
                  <c:v>0.19</c:v>
                </c:pt>
                <c:pt idx="578">
                  <c:v>-0.08</c:v>
                </c:pt>
                <c:pt idx="579">
                  <c:v>0.16</c:v>
                </c:pt>
                <c:pt idx="580">
                  <c:v>-0.12</c:v>
                </c:pt>
                <c:pt idx="581">
                  <c:v>0.18</c:v>
                </c:pt>
                <c:pt idx="582">
                  <c:v>-0.02</c:v>
                </c:pt>
                <c:pt idx="583">
                  <c:v>0.01</c:v>
                </c:pt>
                <c:pt idx="584">
                  <c:v>-0.13</c:v>
                </c:pt>
                <c:pt idx="585">
                  <c:v>7.0000000000000007E-2</c:v>
                </c:pt>
                <c:pt idx="586">
                  <c:v>0.15</c:v>
                </c:pt>
                <c:pt idx="587">
                  <c:v>0.03</c:v>
                </c:pt>
                <c:pt idx="588">
                  <c:v>0.16</c:v>
                </c:pt>
                <c:pt idx="589">
                  <c:v>0.02</c:v>
                </c:pt>
                <c:pt idx="590">
                  <c:v>0.19</c:v>
                </c:pt>
                <c:pt idx="591">
                  <c:v>-0.06</c:v>
                </c:pt>
                <c:pt idx="592">
                  <c:v>0.18</c:v>
                </c:pt>
                <c:pt idx="593">
                  <c:v>-0.12</c:v>
                </c:pt>
                <c:pt idx="594">
                  <c:v>0.1</c:v>
                </c:pt>
                <c:pt idx="595">
                  <c:v>0.03</c:v>
                </c:pt>
                <c:pt idx="596">
                  <c:v>-0.08</c:v>
                </c:pt>
                <c:pt idx="597">
                  <c:v>0.06</c:v>
                </c:pt>
                <c:pt idx="598">
                  <c:v>-0.06</c:v>
                </c:pt>
                <c:pt idx="599">
                  <c:v>-0.01</c:v>
                </c:pt>
                <c:pt idx="600">
                  <c:v>0.13</c:v>
                </c:pt>
                <c:pt idx="601">
                  <c:v>0</c:v>
                </c:pt>
                <c:pt idx="602">
                  <c:v>-0.08</c:v>
                </c:pt>
                <c:pt idx="603">
                  <c:v>-0.04</c:v>
                </c:pt>
                <c:pt idx="604">
                  <c:v>0.05</c:v>
                </c:pt>
                <c:pt idx="605">
                  <c:v>0.09</c:v>
                </c:pt>
                <c:pt idx="606">
                  <c:v>0.17</c:v>
                </c:pt>
                <c:pt idx="607">
                  <c:v>-0.06</c:v>
                </c:pt>
                <c:pt idx="608">
                  <c:v>-0.06</c:v>
                </c:pt>
                <c:pt idx="609">
                  <c:v>-0.01</c:v>
                </c:pt>
                <c:pt idx="610">
                  <c:v>0.04</c:v>
                </c:pt>
                <c:pt idx="611">
                  <c:v>7.0000000000000007E-2</c:v>
                </c:pt>
                <c:pt idx="612">
                  <c:v>0.08</c:v>
                </c:pt>
                <c:pt idx="613">
                  <c:v>-0.11</c:v>
                </c:pt>
                <c:pt idx="614">
                  <c:v>-0.14000000000000001</c:v>
                </c:pt>
                <c:pt idx="615">
                  <c:v>0.2</c:v>
                </c:pt>
                <c:pt idx="616">
                  <c:v>0</c:v>
                </c:pt>
                <c:pt idx="617">
                  <c:v>-0.06</c:v>
                </c:pt>
                <c:pt idx="618">
                  <c:v>0.12</c:v>
                </c:pt>
                <c:pt idx="619">
                  <c:v>0.19</c:v>
                </c:pt>
                <c:pt idx="620">
                  <c:v>-0.02</c:v>
                </c:pt>
                <c:pt idx="621">
                  <c:v>-0.15</c:v>
                </c:pt>
                <c:pt idx="622">
                  <c:v>0.01</c:v>
                </c:pt>
                <c:pt idx="623">
                  <c:v>-0.09</c:v>
                </c:pt>
                <c:pt idx="624">
                  <c:v>-0.04</c:v>
                </c:pt>
                <c:pt idx="625">
                  <c:v>0.08</c:v>
                </c:pt>
                <c:pt idx="626">
                  <c:v>0.1</c:v>
                </c:pt>
                <c:pt idx="627">
                  <c:v>0.15</c:v>
                </c:pt>
                <c:pt idx="628">
                  <c:v>0.2</c:v>
                </c:pt>
                <c:pt idx="629">
                  <c:v>0.05</c:v>
                </c:pt>
                <c:pt idx="630">
                  <c:v>-0.11</c:v>
                </c:pt>
                <c:pt idx="631">
                  <c:v>0.19</c:v>
                </c:pt>
                <c:pt idx="632">
                  <c:v>-0.13</c:v>
                </c:pt>
                <c:pt idx="633">
                  <c:v>0.06</c:v>
                </c:pt>
                <c:pt idx="634">
                  <c:v>0.18</c:v>
                </c:pt>
                <c:pt idx="635">
                  <c:v>-0.15</c:v>
                </c:pt>
                <c:pt idx="636">
                  <c:v>0.13</c:v>
                </c:pt>
                <c:pt idx="637">
                  <c:v>0.02</c:v>
                </c:pt>
                <c:pt idx="638">
                  <c:v>-0.06</c:v>
                </c:pt>
                <c:pt idx="639">
                  <c:v>0.11</c:v>
                </c:pt>
                <c:pt idx="640">
                  <c:v>0.19</c:v>
                </c:pt>
                <c:pt idx="641">
                  <c:v>0.01</c:v>
                </c:pt>
                <c:pt idx="642">
                  <c:v>-0.14000000000000001</c:v>
                </c:pt>
                <c:pt idx="643">
                  <c:v>0</c:v>
                </c:pt>
                <c:pt idx="644">
                  <c:v>0</c:v>
                </c:pt>
                <c:pt idx="645">
                  <c:v>-7.0000000000000007E-2</c:v>
                </c:pt>
                <c:pt idx="646">
                  <c:v>-0.13</c:v>
                </c:pt>
                <c:pt idx="647">
                  <c:v>0.01</c:v>
                </c:pt>
                <c:pt idx="648">
                  <c:v>0.09</c:v>
                </c:pt>
                <c:pt idx="649">
                  <c:v>0.15</c:v>
                </c:pt>
                <c:pt idx="650">
                  <c:v>-0.12</c:v>
                </c:pt>
                <c:pt idx="651">
                  <c:v>7.0000000000000007E-2</c:v>
                </c:pt>
                <c:pt idx="652">
                  <c:v>-0.13</c:v>
                </c:pt>
                <c:pt idx="653">
                  <c:v>-0.15</c:v>
                </c:pt>
                <c:pt idx="654">
                  <c:v>-0.12</c:v>
                </c:pt>
                <c:pt idx="655">
                  <c:v>0.01</c:v>
                </c:pt>
                <c:pt idx="656">
                  <c:v>-0.11</c:v>
                </c:pt>
                <c:pt idx="657">
                  <c:v>0.04</c:v>
                </c:pt>
                <c:pt idx="658">
                  <c:v>0.15</c:v>
                </c:pt>
                <c:pt idx="659">
                  <c:v>7.0000000000000007E-2</c:v>
                </c:pt>
                <c:pt idx="660">
                  <c:v>0.05</c:v>
                </c:pt>
                <c:pt idx="661">
                  <c:v>0.09</c:v>
                </c:pt>
                <c:pt idx="662">
                  <c:v>-0.15</c:v>
                </c:pt>
                <c:pt idx="663">
                  <c:v>0.1</c:v>
                </c:pt>
                <c:pt idx="664">
                  <c:v>-0.06</c:v>
                </c:pt>
                <c:pt idx="665">
                  <c:v>-0.04</c:v>
                </c:pt>
                <c:pt idx="666">
                  <c:v>-0.09</c:v>
                </c:pt>
                <c:pt idx="667">
                  <c:v>-0.03</c:v>
                </c:pt>
                <c:pt idx="668">
                  <c:v>-0.05</c:v>
                </c:pt>
                <c:pt idx="669">
                  <c:v>-0.04</c:v>
                </c:pt>
                <c:pt idx="670">
                  <c:v>0.16</c:v>
                </c:pt>
                <c:pt idx="671">
                  <c:v>0.17</c:v>
                </c:pt>
                <c:pt idx="672">
                  <c:v>0.09</c:v>
                </c:pt>
                <c:pt idx="673">
                  <c:v>0.05</c:v>
                </c:pt>
                <c:pt idx="674">
                  <c:v>-0.05</c:v>
                </c:pt>
                <c:pt idx="675">
                  <c:v>-0.03</c:v>
                </c:pt>
                <c:pt idx="676">
                  <c:v>0.05</c:v>
                </c:pt>
                <c:pt idx="677">
                  <c:v>7.0000000000000007E-2</c:v>
                </c:pt>
                <c:pt idx="678">
                  <c:v>-0.1</c:v>
                </c:pt>
                <c:pt idx="679">
                  <c:v>0.17</c:v>
                </c:pt>
                <c:pt idx="680">
                  <c:v>-0.14000000000000001</c:v>
                </c:pt>
                <c:pt idx="681">
                  <c:v>0.18</c:v>
                </c:pt>
                <c:pt idx="682">
                  <c:v>-0.11</c:v>
                </c:pt>
                <c:pt idx="683">
                  <c:v>-0.13</c:v>
                </c:pt>
                <c:pt idx="684">
                  <c:v>0</c:v>
                </c:pt>
                <c:pt idx="685">
                  <c:v>0.15</c:v>
                </c:pt>
                <c:pt idx="686">
                  <c:v>0.13</c:v>
                </c:pt>
                <c:pt idx="687">
                  <c:v>0.18</c:v>
                </c:pt>
                <c:pt idx="688">
                  <c:v>-0.1</c:v>
                </c:pt>
                <c:pt idx="689">
                  <c:v>0.01</c:v>
                </c:pt>
                <c:pt idx="690">
                  <c:v>0.02</c:v>
                </c:pt>
                <c:pt idx="691">
                  <c:v>-0.11</c:v>
                </c:pt>
                <c:pt idx="692">
                  <c:v>-0.12</c:v>
                </c:pt>
                <c:pt idx="693">
                  <c:v>-0.04</c:v>
                </c:pt>
                <c:pt idx="694">
                  <c:v>0.08</c:v>
                </c:pt>
                <c:pt idx="695">
                  <c:v>0.06</c:v>
                </c:pt>
                <c:pt idx="696">
                  <c:v>-7.0000000000000007E-2</c:v>
                </c:pt>
                <c:pt idx="697">
                  <c:v>-7.0000000000000007E-2</c:v>
                </c:pt>
                <c:pt idx="698">
                  <c:v>0.01</c:v>
                </c:pt>
                <c:pt idx="699">
                  <c:v>0.08</c:v>
                </c:pt>
                <c:pt idx="700">
                  <c:v>-0.04</c:v>
                </c:pt>
                <c:pt idx="701">
                  <c:v>-0.06</c:v>
                </c:pt>
                <c:pt idx="702">
                  <c:v>0.06</c:v>
                </c:pt>
                <c:pt idx="703">
                  <c:v>-0.12</c:v>
                </c:pt>
                <c:pt idx="704">
                  <c:v>-0.11</c:v>
                </c:pt>
                <c:pt idx="705">
                  <c:v>-0.12</c:v>
                </c:pt>
                <c:pt idx="706">
                  <c:v>-7.0000000000000007E-2</c:v>
                </c:pt>
                <c:pt idx="707">
                  <c:v>-0.13</c:v>
                </c:pt>
                <c:pt idx="708">
                  <c:v>-0.15</c:v>
                </c:pt>
                <c:pt idx="709">
                  <c:v>0.11</c:v>
                </c:pt>
                <c:pt idx="710">
                  <c:v>0.14000000000000001</c:v>
                </c:pt>
                <c:pt idx="711">
                  <c:v>0.04</c:v>
                </c:pt>
                <c:pt idx="712">
                  <c:v>-0.15</c:v>
                </c:pt>
                <c:pt idx="713">
                  <c:v>0.12</c:v>
                </c:pt>
                <c:pt idx="714">
                  <c:v>0.05</c:v>
                </c:pt>
                <c:pt idx="715">
                  <c:v>-0.1</c:v>
                </c:pt>
                <c:pt idx="716">
                  <c:v>-0.09</c:v>
                </c:pt>
                <c:pt idx="717">
                  <c:v>-0.02</c:v>
                </c:pt>
                <c:pt idx="718">
                  <c:v>0.06</c:v>
                </c:pt>
                <c:pt idx="719">
                  <c:v>0.18</c:v>
                </c:pt>
                <c:pt idx="720">
                  <c:v>-0.01</c:v>
                </c:pt>
                <c:pt idx="721">
                  <c:v>0.1</c:v>
                </c:pt>
                <c:pt idx="722">
                  <c:v>0.04</c:v>
                </c:pt>
                <c:pt idx="723">
                  <c:v>0.03</c:v>
                </c:pt>
                <c:pt idx="724">
                  <c:v>0.09</c:v>
                </c:pt>
                <c:pt idx="725">
                  <c:v>0.01</c:v>
                </c:pt>
                <c:pt idx="726">
                  <c:v>7.0000000000000007E-2</c:v>
                </c:pt>
                <c:pt idx="727">
                  <c:v>0.02</c:v>
                </c:pt>
                <c:pt idx="728">
                  <c:v>-0.06</c:v>
                </c:pt>
                <c:pt idx="729">
                  <c:v>-0.02</c:v>
                </c:pt>
                <c:pt idx="730">
                  <c:v>0.08</c:v>
                </c:pt>
              </c:numCache>
            </c:numRef>
          </c:val>
          <c:extLst>
            <c:ext xmlns:c16="http://schemas.microsoft.com/office/drawing/2014/chart" uri="{C3380CC4-5D6E-409C-BE32-E72D297353CC}">
              <c16:uniqueId val="{00000000-FFE3-4376-9666-A9A303D3984E}"/>
            </c:ext>
          </c:extLst>
        </c:ser>
        <c:ser>
          <c:idx val="1"/>
          <c:order val="1"/>
          <c:tx>
            <c:strRef>
              <c:f>'Types of Charts'!$D$53</c:f>
              <c:strCache>
                <c:ptCount val="1"/>
                <c:pt idx="0">
                  <c:v>Stock 2</c:v>
                </c:pt>
              </c:strCache>
            </c:strRef>
          </c:tx>
          <c:spPr>
            <a:solidFill>
              <a:schemeClr val="accent2"/>
            </a:solidFill>
            <a:ln>
              <a:noFill/>
            </a:ln>
            <a:effectLst/>
          </c:spPr>
          <c:invertIfNegative val="0"/>
          <c:cat>
            <c:numRef>
              <c:f>'Types of Charts'!$B$54:$B$784</c:f>
              <c:numCache>
                <c:formatCode>m/d/yyyy</c:formatCode>
                <c:ptCount val="7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pt idx="31">
                  <c:v>42401</c:v>
                </c:pt>
                <c:pt idx="32">
                  <c:v>42402</c:v>
                </c:pt>
                <c:pt idx="33">
                  <c:v>42403</c:v>
                </c:pt>
                <c:pt idx="34">
                  <c:v>42404</c:v>
                </c:pt>
                <c:pt idx="35">
                  <c:v>42405</c:v>
                </c:pt>
                <c:pt idx="36">
                  <c:v>42406</c:v>
                </c:pt>
                <c:pt idx="37">
                  <c:v>42407</c:v>
                </c:pt>
                <c:pt idx="38">
                  <c:v>42408</c:v>
                </c:pt>
                <c:pt idx="39">
                  <c:v>42409</c:v>
                </c:pt>
                <c:pt idx="40">
                  <c:v>42410</c:v>
                </c:pt>
                <c:pt idx="41">
                  <c:v>42411</c:v>
                </c:pt>
                <c:pt idx="42">
                  <c:v>42412</c:v>
                </c:pt>
                <c:pt idx="43">
                  <c:v>42413</c:v>
                </c:pt>
                <c:pt idx="44">
                  <c:v>42414</c:v>
                </c:pt>
                <c:pt idx="45">
                  <c:v>42415</c:v>
                </c:pt>
                <c:pt idx="46">
                  <c:v>42416</c:v>
                </c:pt>
                <c:pt idx="47">
                  <c:v>42417</c:v>
                </c:pt>
                <c:pt idx="48">
                  <c:v>42418</c:v>
                </c:pt>
                <c:pt idx="49">
                  <c:v>42419</c:v>
                </c:pt>
                <c:pt idx="50">
                  <c:v>42420</c:v>
                </c:pt>
                <c:pt idx="51">
                  <c:v>42421</c:v>
                </c:pt>
                <c:pt idx="52">
                  <c:v>42422</c:v>
                </c:pt>
                <c:pt idx="53">
                  <c:v>42423</c:v>
                </c:pt>
                <c:pt idx="54">
                  <c:v>42424</c:v>
                </c:pt>
                <c:pt idx="55">
                  <c:v>42425</c:v>
                </c:pt>
                <c:pt idx="56">
                  <c:v>42426</c:v>
                </c:pt>
                <c:pt idx="57">
                  <c:v>42427</c:v>
                </c:pt>
                <c:pt idx="58">
                  <c:v>42428</c:v>
                </c:pt>
                <c:pt idx="59">
                  <c:v>42429</c:v>
                </c:pt>
                <c:pt idx="60">
                  <c:v>42430</c:v>
                </c:pt>
                <c:pt idx="61">
                  <c:v>42431</c:v>
                </c:pt>
                <c:pt idx="62">
                  <c:v>42432</c:v>
                </c:pt>
                <c:pt idx="63">
                  <c:v>42433</c:v>
                </c:pt>
                <c:pt idx="64">
                  <c:v>42434</c:v>
                </c:pt>
                <c:pt idx="65">
                  <c:v>42435</c:v>
                </c:pt>
                <c:pt idx="66">
                  <c:v>42436</c:v>
                </c:pt>
                <c:pt idx="67">
                  <c:v>42437</c:v>
                </c:pt>
                <c:pt idx="68">
                  <c:v>42438</c:v>
                </c:pt>
                <c:pt idx="69">
                  <c:v>42439</c:v>
                </c:pt>
                <c:pt idx="70">
                  <c:v>42440</c:v>
                </c:pt>
                <c:pt idx="71">
                  <c:v>42441</c:v>
                </c:pt>
                <c:pt idx="72">
                  <c:v>42442</c:v>
                </c:pt>
                <c:pt idx="73">
                  <c:v>42443</c:v>
                </c:pt>
                <c:pt idx="74">
                  <c:v>42444</c:v>
                </c:pt>
                <c:pt idx="75">
                  <c:v>42445</c:v>
                </c:pt>
                <c:pt idx="76">
                  <c:v>42446</c:v>
                </c:pt>
                <c:pt idx="77">
                  <c:v>42447</c:v>
                </c:pt>
                <c:pt idx="78">
                  <c:v>42448</c:v>
                </c:pt>
                <c:pt idx="79">
                  <c:v>42449</c:v>
                </c:pt>
                <c:pt idx="80">
                  <c:v>42450</c:v>
                </c:pt>
                <c:pt idx="81">
                  <c:v>42451</c:v>
                </c:pt>
                <c:pt idx="82">
                  <c:v>42452</c:v>
                </c:pt>
                <c:pt idx="83">
                  <c:v>42453</c:v>
                </c:pt>
                <c:pt idx="84">
                  <c:v>42454</c:v>
                </c:pt>
                <c:pt idx="85">
                  <c:v>42455</c:v>
                </c:pt>
                <c:pt idx="86">
                  <c:v>42456</c:v>
                </c:pt>
                <c:pt idx="87">
                  <c:v>42457</c:v>
                </c:pt>
                <c:pt idx="88">
                  <c:v>42458</c:v>
                </c:pt>
                <c:pt idx="89">
                  <c:v>42459</c:v>
                </c:pt>
                <c:pt idx="90">
                  <c:v>42460</c:v>
                </c:pt>
                <c:pt idx="91">
                  <c:v>42461</c:v>
                </c:pt>
                <c:pt idx="92">
                  <c:v>42462</c:v>
                </c:pt>
                <c:pt idx="93">
                  <c:v>42463</c:v>
                </c:pt>
                <c:pt idx="94">
                  <c:v>42464</c:v>
                </c:pt>
                <c:pt idx="95">
                  <c:v>42465</c:v>
                </c:pt>
                <c:pt idx="96">
                  <c:v>42466</c:v>
                </c:pt>
                <c:pt idx="97">
                  <c:v>42467</c:v>
                </c:pt>
                <c:pt idx="98">
                  <c:v>42468</c:v>
                </c:pt>
                <c:pt idx="99">
                  <c:v>42469</c:v>
                </c:pt>
                <c:pt idx="100">
                  <c:v>42470</c:v>
                </c:pt>
                <c:pt idx="101">
                  <c:v>42471</c:v>
                </c:pt>
                <c:pt idx="102">
                  <c:v>42472</c:v>
                </c:pt>
                <c:pt idx="103">
                  <c:v>42473</c:v>
                </c:pt>
                <c:pt idx="104">
                  <c:v>42474</c:v>
                </c:pt>
                <c:pt idx="105">
                  <c:v>42475</c:v>
                </c:pt>
                <c:pt idx="106">
                  <c:v>42476</c:v>
                </c:pt>
                <c:pt idx="107">
                  <c:v>42477</c:v>
                </c:pt>
                <c:pt idx="108">
                  <c:v>42478</c:v>
                </c:pt>
                <c:pt idx="109">
                  <c:v>42479</c:v>
                </c:pt>
                <c:pt idx="110">
                  <c:v>42480</c:v>
                </c:pt>
                <c:pt idx="111">
                  <c:v>42481</c:v>
                </c:pt>
                <c:pt idx="112">
                  <c:v>42482</c:v>
                </c:pt>
                <c:pt idx="113">
                  <c:v>42483</c:v>
                </c:pt>
                <c:pt idx="114">
                  <c:v>42484</c:v>
                </c:pt>
                <c:pt idx="115">
                  <c:v>42485</c:v>
                </c:pt>
                <c:pt idx="116">
                  <c:v>42486</c:v>
                </c:pt>
                <c:pt idx="117">
                  <c:v>42487</c:v>
                </c:pt>
                <c:pt idx="118">
                  <c:v>42488</c:v>
                </c:pt>
                <c:pt idx="119">
                  <c:v>42489</c:v>
                </c:pt>
                <c:pt idx="120">
                  <c:v>42490</c:v>
                </c:pt>
                <c:pt idx="121">
                  <c:v>42491</c:v>
                </c:pt>
                <c:pt idx="122">
                  <c:v>42492</c:v>
                </c:pt>
                <c:pt idx="123">
                  <c:v>42493</c:v>
                </c:pt>
                <c:pt idx="124">
                  <c:v>42494</c:v>
                </c:pt>
                <c:pt idx="125">
                  <c:v>42495</c:v>
                </c:pt>
                <c:pt idx="126">
                  <c:v>42496</c:v>
                </c:pt>
                <c:pt idx="127">
                  <c:v>42497</c:v>
                </c:pt>
                <c:pt idx="128">
                  <c:v>42498</c:v>
                </c:pt>
                <c:pt idx="129">
                  <c:v>42499</c:v>
                </c:pt>
                <c:pt idx="130">
                  <c:v>42500</c:v>
                </c:pt>
                <c:pt idx="131">
                  <c:v>42501</c:v>
                </c:pt>
                <c:pt idx="132">
                  <c:v>42502</c:v>
                </c:pt>
                <c:pt idx="133">
                  <c:v>42503</c:v>
                </c:pt>
                <c:pt idx="134">
                  <c:v>42504</c:v>
                </c:pt>
                <c:pt idx="135">
                  <c:v>42505</c:v>
                </c:pt>
                <c:pt idx="136">
                  <c:v>42506</c:v>
                </c:pt>
                <c:pt idx="137">
                  <c:v>42507</c:v>
                </c:pt>
                <c:pt idx="138">
                  <c:v>42508</c:v>
                </c:pt>
                <c:pt idx="139">
                  <c:v>42509</c:v>
                </c:pt>
                <c:pt idx="140">
                  <c:v>42510</c:v>
                </c:pt>
                <c:pt idx="141">
                  <c:v>42511</c:v>
                </c:pt>
                <c:pt idx="142">
                  <c:v>42512</c:v>
                </c:pt>
                <c:pt idx="143">
                  <c:v>42513</c:v>
                </c:pt>
                <c:pt idx="144">
                  <c:v>42514</c:v>
                </c:pt>
                <c:pt idx="145">
                  <c:v>42515</c:v>
                </c:pt>
                <c:pt idx="146">
                  <c:v>42516</c:v>
                </c:pt>
                <c:pt idx="147">
                  <c:v>42517</c:v>
                </c:pt>
                <c:pt idx="148">
                  <c:v>42518</c:v>
                </c:pt>
                <c:pt idx="149">
                  <c:v>42519</c:v>
                </c:pt>
                <c:pt idx="150">
                  <c:v>42520</c:v>
                </c:pt>
                <c:pt idx="151">
                  <c:v>42521</c:v>
                </c:pt>
                <c:pt idx="152">
                  <c:v>42522</c:v>
                </c:pt>
                <c:pt idx="153">
                  <c:v>42523</c:v>
                </c:pt>
                <c:pt idx="154">
                  <c:v>42524</c:v>
                </c:pt>
                <c:pt idx="155">
                  <c:v>42525</c:v>
                </c:pt>
                <c:pt idx="156">
                  <c:v>42526</c:v>
                </c:pt>
                <c:pt idx="157">
                  <c:v>42527</c:v>
                </c:pt>
                <c:pt idx="158">
                  <c:v>42528</c:v>
                </c:pt>
                <c:pt idx="159">
                  <c:v>42529</c:v>
                </c:pt>
                <c:pt idx="160">
                  <c:v>42530</c:v>
                </c:pt>
                <c:pt idx="161">
                  <c:v>42531</c:v>
                </c:pt>
                <c:pt idx="162">
                  <c:v>42532</c:v>
                </c:pt>
                <c:pt idx="163">
                  <c:v>42533</c:v>
                </c:pt>
                <c:pt idx="164">
                  <c:v>42534</c:v>
                </c:pt>
                <c:pt idx="165">
                  <c:v>42535</c:v>
                </c:pt>
                <c:pt idx="166">
                  <c:v>42536</c:v>
                </c:pt>
                <c:pt idx="167">
                  <c:v>42537</c:v>
                </c:pt>
                <c:pt idx="168">
                  <c:v>42538</c:v>
                </c:pt>
                <c:pt idx="169">
                  <c:v>42539</c:v>
                </c:pt>
                <c:pt idx="170">
                  <c:v>42540</c:v>
                </c:pt>
                <c:pt idx="171">
                  <c:v>42541</c:v>
                </c:pt>
                <c:pt idx="172">
                  <c:v>42542</c:v>
                </c:pt>
                <c:pt idx="173">
                  <c:v>42543</c:v>
                </c:pt>
                <c:pt idx="174">
                  <c:v>42544</c:v>
                </c:pt>
                <c:pt idx="175">
                  <c:v>42545</c:v>
                </c:pt>
                <c:pt idx="176">
                  <c:v>42546</c:v>
                </c:pt>
                <c:pt idx="177">
                  <c:v>42547</c:v>
                </c:pt>
                <c:pt idx="178">
                  <c:v>42548</c:v>
                </c:pt>
                <c:pt idx="179">
                  <c:v>42549</c:v>
                </c:pt>
                <c:pt idx="180">
                  <c:v>42550</c:v>
                </c:pt>
                <c:pt idx="181">
                  <c:v>42551</c:v>
                </c:pt>
                <c:pt idx="182">
                  <c:v>42552</c:v>
                </c:pt>
                <c:pt idx="183">
                  <c:v>42553</c:v>
                </c:pt>
                <c:pt idx="184">
                  <c:v>42554</c:v>
                </c:pt>
                <c:pt idx="185">
                  <c:v>42555</c:v>
                </c:pt>
                <c:pt idx="186">
                  <c:v>42556</c:v>
                </c:pt>
                <c:pt idx="187">
                  <c:v>42557</c:v>
                </c:pt>
                <c:pt idx="188">
                  <c:v>42558</c:v>
                </c:pt>
                <c:pt idx="189">
                  <c:v>42559</c:v>
                </c:pt>
                <c:pt idx="190">
                  <c:v>42560</c:v>
                </c:pt>
                <c:pt idx="191">
                  <c:v>42561</c:v>
                </c:pt>
                <c:pt idx="192">
                  <c:v>42562</c:v>
                </c:pt>
                <c:pt idx="193">
                  <c:v>42563</c:v>
                </c:pt>
                <c:pt idx="194">
                  <c:v>42564</c:v>
                </c:pt>
                <c:pt idx="195">
                  <c:v>42565</c:v>
                </c:pt>
                <c:pt idx="196">
                  <c:v>42566</c:v>
                </c:pt>
                <c:pt idx="197">
                  <c:v>42567</c:v>
                </c:pt>
                <c:pt idx="198">
                  <c:v>42568</c:v>
                </c:pt>
                <c:pt idx="199">
                  <c:v>42569</c:v>
                </c:pt>
                <c:pt idx="200">
                  <c:v>42570</c:v>
                </c:pt>
                <c:pt idx="201">
                  <c:v>42571</c:v>
                </c:pt>
                <c:pt idx="202">
                  <c:v>42572</c:v>
                </c:pt>
                <c:pt idx="203">
                  <c:v>42573</c:v>
                </c:pt>
                <c:pt idx="204">
                  <c:v>42574</c:v>
                </c:pt>
                <c:pt idx="205">
                  <c:v>42575</c:v>
                </c:pt>
                <c:pt idx="206">
                  <c:v>42576</c:v>
                </c:pt>
                <c:pt idx="207">
                  <c:v>42577</c:v>
                </c:pt>
                <c:pt idx="208">
                  <c:v>42578</c:v>
                </c:pt>
                <c:pt idx="209">
                  <c:v>42579</c:v>
                </c:pt>
                <c:pt idx="210">
                  <c:v>42580</c:v>
                </c:pt>
                <c:pt idx="211">
                  <c:v>42581</c:v>
                </c:pt>
                <c:pt idx="212">
                  <c:v>42582</c:v>
                </c:pt>
                <c:pt idx="213">
                  <c:v>42583</c:v>
                </c:pt>
                <c:pt idx="214">
                  <c:v>42584</c:v>
                </c:pt>
                <c:pt idx="215">
                  <c:v>42585</c:v>
                </c:pt>
                <c:pt idx="216">
                  <c:v>42586</c:v>
                </c:pt>
                <c:pt idx="217">
                  <c:v>42587</c:v>
                </c:pt>
                <c:pt idx="218">
                  <c:v>42588</c:v>
                </c:pt>
                <c:pt idx="219">
                  <c:v>42589</c:v>
                </c:pt>
                <c:pt idx="220">
                  <c:v>42590</c:v>
                </c:pt>
                <c:pt idx="221">
                  <c:v>42591</c:v>
                </c:pt>
                <c:pt idx="222">
                  <c:v>42592</c:v>
                </c:pt>
                <c:pt idx="223">
                  <c:v>42593</c:v>
                </c:pt>
                <c:pt idx="224">
                  <c:v>42594</c:v>
                </c:pt>
                <c:pt idx="225">
                  <c:v>42595</c:v>
                </c:pt>
                <c:pt idx="226">
                  <c:v>42596</c:v>
                </c:pt>
                <c:pt idx="227">
                  <c:v>42597</c:v>
                </c:pt>
                <c:pt idx="228">
                  <c:v>42598</c:v>
                </c:pt>
                <c:pt idx="229">
                  <c:v>42599</c:v>
                </c:pt>
                <c:pt idx="230">
                  <c:v>42600</c:v>
                </c:pt>
                <c:pt idx="231">
                  <c:v>42601</c:v>
                </c:pt>
                <c:pt idx="232">
                  <c:v>42602</c:v>
                </c:pt>
                <c:pt idx="233">
                  <c:v>42603</c:v>
                </c:pt>
                <c:pt idx="234">
                  <c:v>42604</c:v>
                </c:pt>
                <c:pt idx="235">
                  <c:v>42605</c:v>
                </c:pt>
                <c:pt idx="236">
                  <c:v>42606</c:v>
                </c:pt>
                <c:pt idx="237">
                  <c:v>42607</c:v>
                </c:pt>
                <c:pt idx="238">
                  <c:v>42608</c:v>
                </c:pt>
                <c:pt idx="239">
                  <c:v>42609</c:v>
                </c:pt>
                <c:pt idx="240">
                  <c:v>42610</c:v>
                </c:pt>
                <c:pt idx="241">
                  <c:v>42611</c:v>
                </c:pt>
                <c:pt idx="242">
                  <c:v>42612</c:v>
                </c:pt>
                <c:pt idx="243">
                  <c:v>42613</c:v>
                </c:pt>
                <c:pt idx="244">
                  <c:v>42614</c:v>
                </c:pt>
                <c:pt idx="245">
                  <c:v>42615</c:v>
                </c:pt>
                <c:pt idx="246">
                  <c:v>42616</c:v>
                </c:pt>
                <c:pt idx="247">
                  <c:v>42617</c:v>
                </c:pt>
                <c:pt idx="248">
                  <c:v>42618</c:v>
                </c:pt>
                <c:pt idx="249">
                  <c:v>42619</c:v>
                </c:pt>
                <c:pt idx="250">
                  <c:v>42620</c:v>
                </c:pt>
                <c:pt idx="251">
                  <c:v>42621</c:v>
                </c:pt>
                <c:pt idx="252">
                  <c:v>42622</c:v>
                </c:pt>
                <c:pt idx="253">
                  <c:v>42623</c:v>
                </c:pt>
                <c:pt idx="254">
                  <c:v>42624</c:v>
                </c:pt>
                <c:pt idx="255">
                  <c:v>42625</c:v>
                </c:pt>
                <c:pt idx="256">
                  <c:v>42626</c:v>
                </c:pt>
                <c:pt idx="257">
                  <c:v>42627</c:v>
                </c:pt>
                <c:pt idx="258">
                  <c:v>42628</c:v>
                </c:pt>
                <c:pt idx="259">
                  <c:v>42629</c:v>
                </c:pt>
                <c:pt idx="260">
                  <c:v>42630</c:v>
                </c:pt>
                <c:pt idx="261">
                  <c:v>42631</c:v>
                </c:pt>
                <c:pt idx="262">
                  <c:v>42632</c:v>
                </c:pt>
                <c:pt idx="263">
                  <c:v>42633</c:v>
                </c:pt>
                <c:pt idx="264">
                  <c:v>42634</c:v>
                </c:pt>
                <c:pt idx="265">
                  <c:v>42635</c:v>
                </c:pt>
                <c:pt idx="266">
                  <c:v>42636</c:v>
                </c:pt>
                <c:pt idx="267">
                  <c:v>42637</c:v>
                </c:pt>
                <c:pt idx="268">
                  <c:v>42638</c:v>
                </c:pt>
                <c:pt idx="269">
                  <c:v>42639</c:v>
                </c:pt>
                <c:pt idx="270">
                  <c:v>42640</c:v>
                </c:pt>
                <c:pt idx="271">
                  <c:v>42641</c:v>
                </c:pt>
                <c:pt idx="272">
                  <c:v>42642</c:v>
                </c:pt>
                <c:pt idx="273">
                  <c:v>42643</c:v>
                </c:pt>
                <c:pt idx="274">
                  <c:v>42644</c:v>
                </c:pt>
                <c:pt idx="275">
                  <c:v>42645</c:v>
                </c:pt>
                <c:pt idx="276">
                  <c:v>42646</c:v>
                </c:pt>
                <c:pt idx="277">
                  <c:v>42647</c:v>
                </c:pt>
                <c:pt idx="278">
                  <c:v>42648</c:v>
                </c:pt>
                <c:pt idx="279">
                  <c:v>42649</c:v>
                </c:pt>
                <c:pt idx="280">
                  <c:v>42650</c:v>
                </c:pt>
                <c:pt idx="281">
                  <c:v>42651</c:v>
                </c:pt>
                <c:pt idx="282">
                  <c:v>42652</c:v>
                </c:pt>
                <c:pt idx="283">
                  <c:v>42653</c:v>
                </c:pt>
                <c:pt idx="284">
                  <c:v>42654</c:v>
                </c:pt>
                <c:pt idx="285">
                  <c:v>42655</c:v>
                </c:pt>
                <c:pt idx="286">
                  <c:v>42656</c:v>
                </c:pt>
                <c:pt idx="287">
                  <c:v>42657</c:v>
                </c:pt>
                <c:pt idx="288">
                  <c:v>42658</c:v>
                </c:pt>
                <c:pt idx="289">
                  <c:v>42659</c:v>
                </c:pt>
                <c:pt idx="290">
                  <c:v>42660</c:v>
                </c:pt>
                <c:pt idx="291">
                  <c:v>42661</c:v>
                </c:pt>
                <c:pt idx="292">
                  <c:v>42662</c:v>
                </c:pt>
                <c:pt idx="293">
                  <c:v>42663</c:v>
                </c:pt>
                <c:pt idx="294">
                  <c:v>42664</c:v>
                </c:pt>
                <c:pt idx="295">
                  <c:v>42665</c:v>
                </c:pt>
                <c:pt idx="296">
                  <c:v>42666</c:v>
                </c:pt>
                <c:pt idx="297">
                  <c:v>42667</c:v>
                </c:pt>
                <c:pt idx="298">
                  <c:v>42668</c:v>
                </c:pt>
                <c:pt idx="299">
                  <c:v>42669</c:v>
                </c:pt>
                <c:pt idx="300">
                  <c:v>42670</c:v>
                </c:pt>
                <c:pt idx="301">
                  <c:v>42671</c:v>
                </c:pt>
                <c:pt idx="302">
                  <c:v>42672</c:v>
                </c:pt>
                <c:pt idx="303">
                  <c:v>42673</c:v>
                </c:pt>
                <c:pt idx="304">
                  <c:v>42674</c:v>
                </c:pt>
                <c:pt idx="305">
                  <c:v>42675</c:v>
                </c:pt>
                <c:pt idx="306">
                  <c:v>42676</c:v>
                </c:pt>
                <c:pt idx="307">
                  <c:v>42677</c:v>
                </c:pt>
                <c:pt idx="308">
                  <c:v>42678</c:v>
                </c:pt>
                <c:pt idx="309">
                  <c:v>42679</c:v>
                </c:pt>
                <c:pt idx="310">
                  <c:v>42680</c:v>
                </c:pt>
                <c:pt idx="311">
                  <c:v>42681</c:v>
                </c:pt>
                <c:pt idx="312">
                  <c:v>42682</c:v>
                </c:pt>
                <c:pt idx="313">
                  <c:v>42683</c:v>
                </c:pt>
                <c:pt idx="314">
                  <c:v>42684</c:v>
                </c:pt>
                <c:pt idx="315">
                  <c:v>42685</c:v>
                </c:pt>
                <c:pt idx="316">
                  <c:v>42686</c:v>
                </c:pt>
                <c:pt idx="317">
                  <c:v>42687</c:v>
                </c:pt>
                <c:pt idx="318">
                  <c:v>42688</c:v>
                </c:pt>
                <c:pt idx="319">
                  <c:v>42689</c:v>
                </c:pt>
                <c:pt idx="320">
                  <c:v>42690</c:v>
                </c:pt>
                <c:pt idx="321">
                  <c:v>42691</c:v>
                </c:pt>
                <c:pt idx="322">
                  <c:v>42692</c:v>
                </c:pt>
                <c:pt idx="323">
                  <c:v>42693</c:v>
                </c:pt>
                <c:pt idx="324">
                  <c:v>42694</c:v>
                </c:pt>
                <c:pt idx="325">
                  <c:v>42695</c:v>
                </c:pt>
                <c:pt idx="326">
                  <c:v>42696</c:v>
                </c:pt>
                <c:pt idx="327">
                  <c:v>42697</c:v>
                </c:pt>
                <c:pt idx="328">
                  <c:v>42698</c:v>
                </c:pt>
                <c:pt idx="329">
                  <c:v>42699</c:v>
                </c:pt>
                <c:pt idx="330">
                  <c:v>42700</c:v>
                </c:pt>
                <c:pt idx="331">
                  <c:v>42701</c:v>
                </c:pt>
                <c:pt idx="332">
                  <c:v>42702</c:v>
                </c:pt>
                <c:pt idx="333">
                  <c:v>42703</c:v>
                </c:pt>
                <c:pt idx="334">
                  <c:v>42704</c:v>
                </c:pt>
                <c:pt idx="335">
                  <c:v>42705</c:v>
                </c:pt>
                <c:pt idx="336">
                  <c:v>42706</c:v>
                </c:pt>
                <c:pt idx="337">
                  <c:v>42707</c:v>
                </c:pt>
                <c:pt idx="338">
                  <c:v>42708</c:v>
                </c:pt>
                <c:pt idx="339">
                  <c:v>42709</c:v>
                </c:pt>
                <c:pt idx="340">
                  <c:v>42710</c:v>
                </c:pt>
                <c:pt idx="341">
                  <c:v>42711</c:v>
                </c:pt>
                <c:pt idx="342">
                  <c:v>42712</c:v>
                </c:pt>
                <c:pt idx="343">
                  <c:v>42713</c:v>
                </c:pt>
                <c:pt idx="344">
                  <c:v>42714</c:v>
                </c:pt>
                <c:pt idx="345">
                  <c:v>42715</c:v>
                </c:pt>
                <c:pt idx="346">
                  <c:v>42716</c:v>
                </c:pt>
                <c:pt idx="347">
                  <c:v>42717</c:v>
                </c:pt>
                <c:pt idx="348">
                  <c:v>42718</c:v>
                </c:pt>
                <c:pt idx="349">
                  <c:v>42719</c:v>
                </c:pt>
                <c:pt idx="350">
                  <c:v>42720</c:v>
                </c:pt>
                <c:pt idx="351">
                  <c:v>42721</c:v>
                </c:pt>
                <c:pt idx="352">
                  <c:v>42722</c:v>
                </c:pt>
                <c:pt idx="353">
                  <c:v>42723</c:v>
                </c:pt>
                <c:pt idx="354">
                  <c:v>42724</c:v>
                </c:pt>
                <c:pt idx="355">
                  <c:v>42725</c:v>
                </c:pt>
                <c:pt idx="356">
                  <c:v>42726</c:v>
                </c:pt>
                <c:pt idx="357">
                  <c:v>42727</c:v>
                </c:pt>
                <c:pt idx="358">
                  <c:v>42728</c:v>
                </c:pt>
                <c:pt idx="359">
                  <c:v>42729</c:v>
                </c:pt>
                <c:pt idx="360">
                  <c:v>42730</c:v>
                </c:pt>
                <c:pt idx="361">
                  <c:v>42731</c:v>
                </c:pt>
                <c:pt idx="362">
                  <c:v>42732</c:v>
                </c:pt>
                <c:pt idx="363">
                  <c:v>42733</c:v>
                </c:pt>
                <c:pt idx="364">
                  <c:v>42734</c:v>
                </c:pt>
                <c:pt idx="365">
                  <c:v>42735</c:v>
                </c:pt>
                <c:pt idx="366">
                  <c:v>42736</c:v>
                </c:pt>
                <c:pt idx="367">
                  <c:v>42737</c:v>
                </c:pt>
                <c:pt idx="368">
                  <c:v>42738</c:v>
                </c:pt>
                <c:pt idx="369">
                  <c:v>42739</c:v>
                </c:pt>
                <c:pt idx="370">
                  <c:v>42740</c:v>
                </c:pt>
                <c:pt idx="371">
                  <c:v>42741</c:v>
                </c:pt>
                <c:pt idx="372">
                  <c:v>42742</c:v>
                </c:pt>
                <c:pt idx="373">
                  <c:v>42743</c:v>
                </c:pt>
                <c:pt idx="374">
                  <c:v>42744</c:v>
                </c:pt>
                <c:pt idx="375">
                  <c:v>42745</c:v>
                </c:pt>
                <c:pt idx="376">
                  <c:v>42746</c:v>
                </c:pt>
                <c:pt idx="377">
                  <c:v>42747</c:v>
                </c:pt>
                <c:pt idx="378">
                  <c:v>42748</c:v>
                </c:pt>
                <c:pt idx="379">
                  <c:v>42749</c:v>
                </c:pt>
                <c:pt idx="380">
                  <c:v>42750</c:v>
                </c:pt>
                <c:pt idx="381">
                  <c:v>42751</c:v>
                </c:pt>
                <c:pt idx="382">
                  <c:v>42752</c:v>
                </c:pt>
                <c:pt idx="383">
                  <c:v>42753</c:v>
                </c:pt>
                <c:pt idx="384">
                  <c:v>42754</c:v>
                </c:pt>
                <c:pt idx="385">
                  <c:v>42755</c:v>
                </c:pt>
                <c:pt idx="386">
                  <c:v>42756</c:v>
                </c:pt>
                <c:pt idx="387">
                  <c:v>42757</c:v>
                </c:pt>
                <c:pt idx="388">
                  <c:v>42758</c:v>
                </c:pt>
                <c:pt idx="389">
                  <c:v>42759</c:v>
                </c:pt>
                <c:pt idx="390">
                  <c:v>42760</c:v>
                </c:pt>
                <c:pt idx="391">
                  <c:v>42761</c:v>
                </c:pt>
                <c:pt idx="392">
                  <c:v>42762</c:v>
                </c:pt>
                <c:pt idx="393">
                  <c:v>42763</c:v>
                </c:pt>
                <c:pt idx="394">
                  <c:v>42764</c:v>
                </c:pt>
                <c:pt idx="395">
                  <c:v>42765</c:v>
                </c:pt>
                <c:pt idx="396">
                  <c:v>42766</c:v>
                </c:pt>
                <c:pt idx="397">
                  <c:v>42767</c:v>
                </c:pt>
                <c:pt idx="398">
                  <c:v>42768</c:v>
                </c:pt>
                <c:pt idx="399">
                  <c:v>42769</c:v>
                </c:pt>
                <c:pt idx="400">
                  <c:v>42770</c:v>
                </c:pt>
                <c:pt idx="401">
                  <c:v>42771</c:v>
                </c:pt>
                <c:pt idx="402">
                  <c:v>42772</c:v>
                </c:pt>
                <c:pt idx="403">
                  <c:v>42773</c:v>
                </c:pt>
                <c:pt idx="404">
                  <c:v>42774</c:v>
                </c:pt>
                <c:pt idx="405">
                  <c:v>42775</c:v>
                </c:pt>
                <c:pt idx="406">
                  <c:v>42776</c:v>
                </c:pt>
                <c:pt idx="407">
                  <c:v>42777</c:v>
                </c:pt>
                <c:pt idx="408">
                  <c:v>42778</c:v>
                </c:pt>
                <c:pt idx="409">
                  <c:v>42779</c:v>
                </c:pt>
                <c:pt idx="410">
                  <c:v>42780</c:v>
                </c:pt>
                <c:pt idx="411">
                  <c:v>42781</c:v>
                </c:pt>
                <c:pt idx="412">
                  <c:v>42782</c:v>
                </c:pt>
                <c:pt idx="413">
                  <c:v>42783</c:v>
                </c:pt>
                <c:pt idx="414">
                  <c:v>42784</c:v>
                </c:pt>
                <c:pt idx="415">
                  <c:v>42785</c:v>
                </c:pt>
                <c:pt idx="416">
                  <c:v>42786</c:v>
                </c:pt>
                <c:pt idx="417">
                  <c:v>42787</c:v>
                </c:pt>
                <c:pt idx="418">
                  <c:v>42788</c:v>
                </c:pt>
                <c:pt idx="419">
                  <c:v>42789</c:v>
                </c:pt>
                <c:pt idx="420">
                  <c:v>42790</c:v>
                </c:pt>
                <c:pt idx="421">
                  <c:v>42791</c:v>
                </c:pt>
                <c:pt idx="422">
                  <c:v>42792</c:v>
                </c:pt>
                <c:pt idx="423">
                  <c:v>42793</c:v>
                </c:pt>
                <c:pt idx="424">
                  <c:v>42794</c:v>
                </c:pt>
                <c:pt idx="425">
                  <c:v>42795</c:v>
                </c:pt>
                <c:pt idx="426">
                  <c:v>42796</c:v>
                </c:pt>
                <c:pt idx="427">
                  <c:v>42797</c:v>
                </c:pt>
                <c:pt idx="428">
                  <c:v>42798</c:v>
                </c:pt>
                <c:pt idx="429">
                  <c:v>42799</c:v>
                </c:pt>
                <c:pt idx="430">
                  <c:v>42800</c:v>
                </c:pt>
                <c:pt idx="431">
                  <c:v>42801</c:v>
                </c:pt>
                <c:pt idx="432">
                  <c:v>42802</c:v>
                </c:pt>
                <c:pt idx="433">
                  <c:v>42803</c:v>
                </c:pt>
                <c:pt idx="434">
                  <c:v>42804</c:v>
                </c:pt>
                <c:pt idx="435">
                  <c:v>42805</c:v>
                </c:pt>
                <c:pt idx="436">
                  <c:v>42806</c:v>
                </c:pt>
                <c:pt idx="437">
                  <c:v>42807</c:v>
                </c:pt>
                <c:pt idx="438">
                  <c:v>42808</c:v>
                </c:pt>
                <c:pt idx="439">
                  <c:v>42809</c:v>
                </c:pt>
                <c:pt idx="440">
                  <c:v>42810</c:v>
                </c:pt>
                <c:pt idx="441">
                  <c:v>42811</c:v>
                </c:pt>
                <c:pt idx="442">
                  <c:v>42812</c:v>
                </c:pt>
                <c:pt idx="443">
                  <c:v>42813</c:v>
                </c:pt>
                <c:pt idx="444">
                  <c:v>42814</c:v>
                </c:pt>
                <c:pt idx="445">
                  <c:v>42815</c:v>
                </c:pt>
                <c:pt idx="446">
                  <c:v>42816</c:v>
                </c:pt>
                <c:pt idx="447">
                  <c:v>42817</c:v>
                </c:pt>
                <c:pt idx="448">
                  <c:v>42818</c:v>
                </c:pt>
                <c:pt idx="449">
                  <c:v>42819</c:v>
                </c:pt>
                <c:pt idx="450">
                  <c:v>42820</c:v>
                </c:pt>
                <c:pt idx="451">
                  <c:v>42821</c:v>
                </c:pt>
                <c:pt idx="452">
                  <c:v>42822</c:v>
                </c:pt>
                <c:pt idx="453">
                  <c:v>42823</c:v>
                </c:pt>
                <c:pt idx="454">
                  <c:v>42824</c:v>
                </c:pt>
                <c:pt idx="455">
                  <c:v>42825</c:v>
                </c:pt>
                <c:pt idx="456">
                  <c:v>42826</c:v>
                </c:pt>
                <c:pt idx="457">
                  <c:v>42827</c:v>
                </c:pt>
                <c:pt idx="458">
                  <c:v>42828</c:v>
                </c:pt>
                <c:pt idx="459">
                  <c:v>42829</c:v>
                </c:pt>
                <c:pt idx="460">
                  <c:v>42830</c:v>
                </c:pt>
                <c:pt idx="461">
                  <c:v>42831</c:v>
                </c:pt>
                <c:pt idx="462">
                  <c:v>42832</c:v>
                </c:pt>
                <c:pt idx="463">
                  <c:v>42833</c:v>
                </c:pt>
                <c:pt idx="464">
                  <c:v>42834</c:v>
                </c:pt>
                <c:pt idx="465">
                  <c:v>42835</c:v>
                </c:pt>
                <c:pt idx="466">
                  <c:v>42836</c:v>
                </c:pt>
                <c:pt idx="467">
                  <c:v>42837</c:v>
                </c:pt>
                <c:pt idx="468">
                  <c:v>42838</c:v>
                </c:pt>
                <c:pt idx="469">
                  <c:v>42839</c:v>
                </c:pt>
                <c:pt idx="470">
                  <c:v>42840</c:v>
                </c:pt>
                <c:pt idx="471">
                  <c:v>42841</c:v>
                </c:pt>
                <c:pt idx="472">
                  <c:v>42842</c:v>
                </c:pt>
                <c:pt idx="473">
                  <c:v>42843</c:v>
                </c:pt>
                <c:pt idx="474">
                  <c:v>42844</c:v>
                </c:pt>
                <c:pt idx="475">
                  <c:v>42845</c:v>
                </c:pt>
                <c:pt idx="476">
                  <c:v>42846</c:v>
                </c:pt>
                <c:pt idx="477">
                  <c:v>42847</c:v>
                </c:pt>
                <c:pt idx="478">
                  <c:v>42848</c:v>
                </c:pt>
                <c:pt idx="479">
                  <c:v>42849</c:v>
                </c:pt>
                <c:pt idx="480">
                  <c:v>42850</c:v>
                </c:pt>
                <c:pt idx="481">
                  <c:v>42851</c:v>
                </c:pt>
                <c:pt idx="482">
                  <c:v>42852</c:v>
                </c:pt>
                <c:pt idx="483">
                  <c:v>42853</c:v>
                </c:pt>
                <c:pt idx="484">
                  <c:v>42854</c:v>
                </c:pt>
                <c:pt idx="485">
                  <c:v>42855</c:v>
                </c:pt>
                <c:pt idx="486">
                  <c:v>42856</c:v>
                </c:pt>
                <c:pt idx="487">
                  <c:v>42857</c:v>
                </c:pt>
                <c:pt idx="488">
                  <c:v>42858</c:v>
                </c:pt>
                <c:pt idx="489">
                  <c:v>42859</c:v>
                </c:pt>
                <c:pt idx="490">
                  <c:v>42860</c:v>
                </c:pt>
                <c:pt idx="491">
                  <c:v>42861</c:v>
                </c:pt>
                <c:pt idx="492">
                  <c:v>42862</c:v>
                </c:pt>
                <c:pt idx="493">
                  <c:v>42863</c:v>
                </c:pt>
                <c:pt idx="494">
                  <c:v>42864</c:v>
                </c:pt>
                <c:pt idx="495">
                  <c:v>42865</c:v>
                </c:pt>
                <c:pt idx="496">
                  <c:v>42866</c:v>
                </c:pt>
                <c:pt idx="497">
                  <c:v>42867</c:v>
                </c:pt>
                <c:pt idx="498">
                  <c:v>42868</c:v>
                </c:pt>
                <c:pt idx="499">
                  <c:v>42869</c:v>
                </c:pt>
                <c:pt idx="500">
                  <c:v>42870</c:v>
                </c:pt>
                <c:pt idx="501">
                  <c:v>42871</c:v>
                </c:pt>
                <c:pt idx="502">
                  <c:v>42872</c:v>
                </c:pt>
                <c:pt idx="503">
                  <c:v>42873</c:v>
                </c:pt>
                <c:pt idx="504">
                  <c:v>42874</c:v>
                </c:pt>
                <c:pt idx="505">
                  <c:v>42875</c:v>
                </c:pt>
                <c:pt idx="506">
                  <c:v>42876</c:v>
                </c:pt>
                <c:pt idx="507">
                  <c:v>42877</c:v>
                </c:pt>
                <c:pt idx="508">
                  <c:v>42878</c:v>
                </c:pt>
                <c:pt idx="509">
                  <c:v>42879</c:v>
                </c:pt>
                <c:pt idx="510">
                  <c:v>42880</c:v>
                </c:pt>
                <c:pt idx="511">
                  <c:v>42881</c:v>
                </c:pt>
                <c:pt idx="512">
                  <c:v>42882</c:v>
                </c:pt>
                <c:pt idx="513">
                  <c:v>42883</c:v>
                </c:pt>
                <c:pt idx="514">
                  <c:v>42884</c:v>
                </c:pt>
                <c:pt idx="515">
                  <c:v>42885</c:v>
                </c:pt>
                <c:pt idx="516">
                  <c:v>42886</c:v>
                </c:pt>
                <c:pt idx="517">
                  <c:v>42887</c:v>
                </c:pt>
                <c:pt idx="518">
                  <c:v>42888</c:v>
                </c:pt>
                <c:pt idx="519">
                  <c:v>42889</c:v>
                </c:pt>
                <c:pt idx="520">
                  <c:v>42890</c:v>
                </c:pt>
                <c:pt idx="521">
                  <c:v>42891</c:v>
                </c:pt>
                <c:pt idx="522">
                  <c:v>42892</c:v>
                </c:pt>
                <c:pt idx="523">
                  <c:v>42893</c:v>
                </c:pt>
                <c:pt idx="524">
                  <c:v>42894</c:v>
                </c:pt>
                <c:pt idx="525">
                  <c:v>42895</c:v>
                </c:pt>
                <c:pt idx="526">
                  <c:v>42896</c:v>
                </c:pt>
                <c:pt idx="527">
                  <c:v>42897</c:v>
                </c:pt>
                <c:pt idx="528">
                  <c:v>42898</c:v>
                </c:pt>
                <c:pt idx="529">
                  <c:v>42899</c:v>
                </c:pt>
                <c:pt idx="530">
                  <c:v>42900</c:v>
                </c:pt>
                <c:pt idx="531">
                  <c:v>42901</c:v>
                </c:pt>
                <c:pt idx="532">
                  <c:v>42902</c:v>
                </c:pt>
                <c:pt idx="533">
                  <c:v>42903</c:v>
                </c:pt>
                <c:pt idx="534">
                  <c:v>42904</c:v>
                </c:pt>
                <c:pt idx="535">
                  <c:v>42905</c:v>
                </c:pt>
                <c:pt idx="536">
                  <c:v>42906</c:v>
                </c:pt>
                <c:pt idx="537">
                  <c:v>42907</c:v>
                </c:pt>
                <c:pt idx="538">
                  <c:v>42908</c:v>
                </c:pt>
                <c:pt idx="539">
                  <c:v>42909</c:v>
                </c:pt>
                <c:pt idx="540">
                  <c:v>42910</c:v>
                </c:pt>
                <c:pt idx="541">
                  <c:v>42911</c:v>
                </c:pt>
                <c:pt idx="542">
                  <c:v>42912</c:v>
                </c:pt>
                <c:pt idx="543">
                  <c:v>42913</c:v>
                </c:pt>
                <c:pt idx="544">
                  <c:v>42914</c:v>
                </c:pt>
                <c:pt idx="545">
                  <c:v>42915</c:v>
                </c:pt>
                <c:pt idx="546">
                  <c:v>42916</c:v>
                </c:pt>
                <c:pt idx="547">
                  <c:v>42917</c:v>
                </c:pt>
                <c:pt idx="548">
                  <c:v>42918</c:v>
                </c:pt>
                <c:pt idx="549">
                  <c:v>42919</c:v>
                </c:pt>
                <c:pt idx="550">
                  <c:v>42920</c:v>
                </c:pt>
                <c:pt idx="551">
                  <c:v>42921</c:v>
                </c:pt>
                <c:pt idx="552">
                  <c:v>42922</c:v>
                </c:pt>
                <c:pt idx="553">
                  <c:v>42923</c:v>
                </c:pt>
                <c:pt idx="554">
                  <c:v>42924</c:v>
                </c:pt>
                <c:pt idx="555">
                  <c:v>42925</c:v>
                </c:pt>
                <c:pt idx="556">
                  <c:v>42926</c:v>
                </c:pt>
                <c:pt idx="557">
                  <c:v>42927</c:v>
                </c:pt>
                <c:pt idx="558">
                  <c:v>42928</c:v>
                </c:pt>
                <c:pt idx="559">
                  <c:v>42929</c:v>
                </c:pt>
                <c:pt idx="560">
                  <c:v>42930</c:v>
                </c:pt>
                <c:pt idx="561">
                  <c:v>42931</c:v>
                </c:pt>
                <c:pt idx="562">
                  <c:v>42932</c:v>
                </c:pt>
                <c:pt idx="563">
                  <c:v>42933</c:v>
                </c:pt>
                <c:pt idx="564">
                  <c:v>42934</c:v>
                </c:pt>
                <c:pt idx="565">
                  <c:v>42935</c:v>
                </c:pt>
                <c:pt idx="566">
                  <c:v>42936</c:v>
                </c:pt>
                <c:pt idx="567">
                  <c:v>42937</c:v>
                </c:pt>
                <c:pt idx="568">
                  <c:v>42938</c:v>
                </c:pt>
                <c:pt idx="569">
                  <c:v>42939</c:v>
                </c:pt>
                <c:pt idx="570">
                  <c:v>42940</c:v>
                </c:pt>
                <c:pt idx="571">
                  <c:v>42941</c:v>
                </c:pt>
                <c:pt idx="572">
                  <c:v>42942</c:v>
                </c:pt>
                <c:pt idx="573">
                  <c:v>42943</c:v>
                </c:pt>
                <c:pt idx="574">
                  <c:v>42944</c:v>
                </c:pt>
                <c:pt idx="575">
                  <c:v>42945</c:v>
                </c:pt>
                <c:pt idx="576">
                  <c:v>42946</c:v>
                </c:pt>
                <c:pt idx="577">
                  <c:v>42947</c:v>
                </c:pt>
                <c:pt idx="578">
                  <c:v>42948</c:v>
                </c:pt>
                <c:pt idx="579">
                  <c:v>42949</c:v>
                </c:pt>
                <c:pt idx="580">
                  <c:v>42950</c:v>
                </c:pt>
                <c:pt idx="581">
                  <c:v>42951</c:v>
                </c:pt>
                <c:pt idx="582">
                  <c:v>42952</c:v>
                </c:pt>
                <c:pt idx="583">
                  <c:v>42953</c:v>
                </c:pt>
                <c:pt idx="584">
                  <c:v>42954</c:v>
                </c:pt>
                <c:pt idx="585">
                  <c:v>42955</c:v>
                </c:pt>
                <c:pt idx="586">
                  <c:v>42956</c:v>
                </c:pt>
                <c:pt idx="587">
                  <c:v>42957</c:v>
                </c:pt>
                <c:pt idx="588">
                  <c:v>42958</c:v>
                </c:pt>
                <c:pt idx="589">
                  <c:v>42959</c:v>
                </c:pt>
                <c:pt idx="590">
                  <c:v>42960</c:v>
                </c:pt>
                <c:pt idx="591">
                  <c:v>42961</c:v>
                </c:pt>
                <c:pt idx="592">
                  <c:v>42962</c:v>
                </c:pt>
                <c:pt idx="593">
                  <c:v>42963</c:v>
                </c:pt>
                <c:pt idx="594">
                  <c:v>42964</c:v>
                </c:pt>
                <c:pt idx="595">
                  <c:v>42965</c:v>
                </c:pt>
                <c:pt idx="596">
                  <c:v>42966</c:v>
                </c:pt>
                <c:pt idx="597">
                  <c:v>42967</c:v>
                </c:pt>
                <c:pt idx="598">
                  <c:v>42968</c:v>
                </c:pt>
                <c:pt idx="599">
                  <c:v>42969</c:v>
                </c:pt>
                <c:pt idx="600">
                  <c:v>42970</c:v>
                </c:pt>
                <c:pt idx="601">
                  <c:v>42971</c:v>
                </c:pt>
                <c:pt idx="602">
                  <c:v>42972</c:v>
                </c:pt>
                <c:pt idx="603">
                  <c:v>42973</c:v>
                </c:pt>
                <c:pt idx="604">
                  <c:v>42974</c:v>
                </c:pt>
                <c:pt idx="605">
                  <c:v>42975</c:v>
                </c:pt>
                <c:pt idx="606">
                  <c:v>42976</c:v>
                </c:pt>
                <c:pt idx="607">
                  <c:v>42977</c:v>
                </c:pt>
                <c:pt idx="608">
                  <c:v>42978</c:v>
                </c:pt>
                <c:pt idx="609">
                  <c:v>42979</c:v>
                </c:pt>
                <c:pt idx="610">
                  <c:v>42980</c:v>
                </c:pt>
                <c:pt idx="611">
                  <c:v>42981</c:v>
                </c:pt>
                <c:pt idx="612">
                  <c:v>42982</c:v>
                </c:pt>
                <c:pt idx="613">
                  <c:v>42983</c:v>
                </c:pt>
                <c:pt idx="614">
                  <c:v>42984</c:v>
                </c:pt>
                <c:pt idx="615">
                  <c:v>42985</c:v>
                </c:pt>
                <c:pt idx="616">
                  <c:v>42986</c:v>
                </c:pt>
                <c:pt idx="617">
                  <c:v>42987</c:v>
                </c:pt>
                <c:pt idx="618">
                  <c:v>42988</c:v>
                </c:pt>
                <c:pt idx="619">
                  <c:v>42989</c:v>
                </c:pt>
                <c:pt idx="620">
                  <c:v>42990</c:v>
                </c:pt>
                <c:pt idx="621">
                  <c:v>42991</c:v>
                </c:pt>
                <c:pt idx="622">
                  <c:v>42992</c:v>
                </c:pt>
                <c:pt idx="623">
                  <c:v>42993</c:v>
                </c:pt>
                <c:pt idx="624">
                  <c:v>42994</c:v>
                </c:pt>
                <c:pt idx="625">
                  <c:v>42995</c:v>
                </c:pt>
                <c:pt idx="626">
                  <c:v>42996</c:v>
                </c:pt>
                <c:pt idx="627">
                  <c:v>42997</c:v>
                </c:pt>
                <c:pt idx="628">
                  <c:v>42998</c:v>
                </c:pt>
                <c:pt idx="629">
                  <c:v>42999</c:v>
                </c:pt>
                <c:pt idx="630">
                  <c:v>43000</c:v>
                </c:pt>
                <c:pt idx="631">
                  <c:v>43001</c:v>
                </c:pt>
                <c:pt idx="632">
                  <c:v>43002</c:v>
                </c:pt>
                <c:pt idx="633">
                  <c:v>43003</c:v>
                </c:pt>
                <c:pt idx="634">
                  <c:v>43004</c:v>
                </c:pt>
                <c:pt idx="635">
                  <c:v>43005</c:v>
                </c:pt>
                <c:pt idx="636">
                  <c:v>43006</c:v>
                </c:pt>
                <c:pt idx="637">
                  <c:v>43007</c:v>
                </c:pt>
                <c:pt idx="638">
                  <c:v>43008</c:v>
                </c:pt>
                <c:pt idx="639">
                  <c:v>43009</c:v>
                </c:pt>
                <c:pt idx="640">
                  <c:v>43010</c:v>
                </c:pt>
                <c:pt idx="641">
                  <c:v>43011</c:v>
                </c:pt>
                <c:pt idx="642">
                  <c:v>43012</c:v>
                </c:pt>
                <c:pt idx="643">
                  <c:v>43013</c:v>
                </c:pt>
                <c:pt idx="644">
                  <c:v>43014</c:v>
                </c:pt>
                <c:pt idx="645">
                  <c:v>43015</c:v>
                </c:pt>
                <c:pt idx="646">
                  <c:v>43016</c:v>
                </c:pt>
                <c:pt idx="647">
                  <c:v>43017</c:v>
                </c:pt>
                <c:pt idx="648">
                  <c:v>43018</c:v>
                </c:pt>
                <c:pt idx="649">
                  <c:v>43019</c:v>
                </c:pt>
                <c:pt idx="650">
                  <c:v>43020</c:v>
                </c:pt>
                <c:pt idx="651">
                  <c:v>43021</c:v>
                </c:pt>
                <c:pt idx="652">
                  <c:v>43022</c:v>
                </c:pt>
                <c:pt idx="653">
                  <c:v>43023</c:v>
                </c:pt>
                <c:pt idx="654">
                  <c:v>43024</c:v>
                </c:pt>
                <c:pt idx="655">
                  <c:v>43025</c:v>
                </c:pt>
                <c:pt idx="656">
                  <c:v>43026</c:v>
                </c:pt>
                <c:pt idx="657">
                  <c:v>43027</c:v>
                </c:pt>
                <c:pt idx="658">
                  <c:v>43028</c:v>
                </c:pt>
                <c:pt idx="659">
                  <c:v>43029</c:v>
                </c:pt>
                <c:pt idx="660">
                  <c:v>43030</c:v>
                </c:pt>
                <c:pt idx="661">
                  <c:v>43031</c:v>
                </c:pt>
                <c:pt idx="662">
                  <c:v>43032</c:v>
                </c:pt>
                <c:pt idx="663">
                  <c:v>43033</c:v>
                </c:pt>
                <c:pt idx="664">
                  <c:v>43034</c:v>
                </c:pt>
                <c:pt idx="665">
                  <c:v>43035</c:v>
                </c:pt>
                <c:pt idx="666">
                  <c:v>43036</c:v>
                </c:pt>
                <c:pt idx="667">
                  <c:v>43037</c:v>
                </c:pt>
                <c:pt idx="668">
                  <c:v>43038</c:v>
                </c:pt>
                <c:pt idx="669">
                  <c:v>43039</c:v>
                </c:pt>
                <c:pt idx="670">
                  <c:v>43040</c:v>
                </c:pt>
                <c:pt idx="671">
                  <c:v>43041</c:v>
                </c:pt>
                <c:pt idx="672">
                  <c:v>43042</c:v>
                </c:pt>
                <c:pt idx="673">
                  <c:v>43043</c:v>
                </c:pt>
                <c:pt idx="674">
                  <c:v>43044</c:v>
                </c:pt>
                <c:pt idx="675">
                  <c:v>43045</c:v>
                </c:pt>
                <c:pt idx="676">
                  <c:v>43046</c:v>
                </c:pt>
                <c:pt idx="677">
                  <c:v>43047</c:v>
                </c:pt>
                <c:pt idx="678">
                  <c:v>43048</c:v>
                </c:pt>
                <c:pt idx="679">
                  <c:v>43049</c:v>
                </c:pt>
                <c:pt idx="680">
                  <c:v>43050</c:v>
                </c:pt>
                <c:pt idx="681">
                  <c:v>43051</c:v>
                </c:pt>
                <c:pt idx="682">
                  <c:v>43052</c:v>
                </c:pt>
                <c:pt idx="683">
                  <c:v>43053</c:v>
                </c:pt>
                <c:pt idx="684">
                  <c:v>43054</c:v>
                </c:pt>
                <c:pt idx="685">
                  <c:v>43055</c:v>
                </c:pt>
                <c:pt idx="686">
                  <c:v>43056</c:v>
                </c:pt>
                <c:pt idx="687">
                  <c:v>43057</c:v>
                </c:pt>
                <c:pt idx="688">
                  <c:v>43058</c:v>
                </c:pt>
                <c:pt idx="689">
                  <c:v>43059</c:v>
                </c:pt>
                <c:pt idx="690">
                  <c:v>43060</c:v>
                </c:pt>
                <c:pt idx="691">
                  <c:v>43061</c:v>
                </c:pt>
                <c:pt idx="692">
                  <c:v>43062</c:v>
                </c:pt>
                <c:pt idx="693">
                  <c:v>43063</c:v>
                </c:pt>
                <c:pt idx="694">
                  <c:v>43064</c:v>
                </c:pt>
                <c:pt idx="695">
                  <c:v>43065</c:v>
                </c:pt>
                <c:pt idx="696">
                  <c:v>43066</c:v>
                </c:pt>
                <c:pt idx="697">
                  <c:v>43067</c:v>
                </c:pt>
                <c:pt idx="698">
                  <c:v>43068</c:v>
                </c:pt>
                <c:pt idx="699">
                  <c:v>43069</c:v>
                </c:pt>
                <c:pt idx="700">
                  <c:v>43070</c:v>
                </c:pt>
                <c:pt idx="701">
                  <c:v>43071</c:v>
                </c:pt>
                <c:pt idx="702">
                  <c:v>43072</c:v>
                </c:pt>
                <c:pt idx="703">
                  <c:v>43073</c:v>
                </c:pt>
                <c:pt idx="704">
                  <c:v>43074</c:v>
                </c:pt>
                <c:pt idx="705">
                  <c:v>43075</c:v>
                </c:pt>
                <c:pt idx="706">
                  <c:v>43076</c:v>
                </c:pt>
                <c:pt idx="707">
                  <c:v>43077</c:v>
                </c:pt>
                <c:pt idx="708">
                  <c:v>43078</c:v>
                </c:pt>
                <c:pt idx="709">
                  <c:v>43079</c:v>
                </c:pt>
                <c:pt idx="710">
                  <c:v>43080</c:v>
                </c:pt>
                <c:pt idx="711">
                  <c:v>43081</c:v>
                </c:pt>
                <c:pt idx="712">
                  <c:v>43082</c:v>
                </c:pt>
                <c:pt idx="713">
                  <c:v>43083</c:v>
                </c:pt>
                <c:pt idx="714">
                  <c:v>43084</c:v>
                </c:pt>
                <c:pt idx="715">
                  <c:v>43085</c:v>
                </c:pt>
                <c:pt idx="716">
                  <c:v>43086</c:v>
                </c:pt>
                <c:pt idx="717">
                  <c:v>43087</c:v>
                </c:pt>
                <c:pt idx="718">
                  <c:v>43088</c:v>
                </c:pt>
                <c:pt idx="719">
                  <c:v>43089</c:v>
                </c:pt>
                <c:pt idx="720">
                  <c:v>43090</c:v>
                </c:pt>
                <c:pt idx="721">
                  <c:v>43091</c:v>
                </c:pt>
                <c:pt idx="722">
                  <c:v>43092</c:v>
                </c:pt>
                <c:pt idx="723">
                  <c:v>43093</c:v>
                </c:pt>
                <c:pt idx="724">
                  <c:v>43094</c:v>
                </c:pt>
                <c:pt idx="725">
                  <c:v>43095</c:v>
                </c:pt>
                <c:pt idx="726">
                  <c:v>43096</c:v>
                </c:pt>
                <c:pt idx="727">
                  <c:v>43097</c:v>
                </c:pt>
                <c:pt idx="728">
                  <c:v>43098</c:v>
                </c:pt>
                <c:pt idx="729">
                  <c:v>43099</c:v>
                </c:pt>
                <c:pt idx="730">
                  <c:v>43100</c:v>
                </c:pt>
              </c:numCache>
            </c:numRef>
          </c:cat>
          <c:val>
            <c:numRef>
              <c:f>'Types of Charts'!$D$54:$D$784</c:f>
              <c:numCache>
                <c:formatCode>General</c:formatCode>
                <c:ptCount val="731"/>
                <c:pt idx="0">
                  <c:v>-0.05</c:v>
                </c:pt>
                <c:pt idx="1">
                  <c:v>0.2</c:v>
                </c:pt>
                <c:pt idx="2">
                  <c:v>0.03</c:v>
                </c:pt>
                <c:pt idx="3">
                  <c:v>-0.01</c:v>
                </c:pt>
                <c:pt idx="4">
                  <c:v>0.19</c:v>
                </c:pt>
                <c:pt idx="5">
                  <c:v>0.03</c:v>
                </c:pt>
                <c:pt idx="6">
                  <c:v>0.15</c:v>
                </c:pt>
                <c:pt idx="7">
                  <c:v>0.09</c:v>
                </c:pt>
                <c:pt idx="8">
                  <c:v>0.05</c:v>
                </c:pt>
                <c:pt idx="9">
                  <c:v>0.15</c:v>
                </c:pt>
                <c:pt idx="10">
                  <c:v>0.09</c:v>
                </c:pt>
                <c:pt idx="11">
                  <c:v>0.17</c:v>
                </c:pt>
                <c:pt idx="12">
                  <c:v>0</c:v>
                </c:pt>
                <c:pt idx="13">
                  <c:v>-0.02</c:v>
                </c:pt>
                <c:pt idx="14">
                  <c:v>0.02</c:v>
                </c:pt>
                <c:pt idx="15">
                  <c:v>0.02</c:v>
                </c:pt>
                <c:pt idx="16">
                  <c:v>0.1</c:v>
                </c:pt>
                <c:pt idx="17">
                  <c:v>0.03</c:v>
                </c:pt>
                <c:pt idx="18">
                  <c:v>0.09</c:v>
                </c:pt>
                <c:pt idx="19">
                  <c:v>-0.04</c:v>
                </c:pt>
                <c:pt idx="20">
                  <c:v>0.11</c:v>
                </c:pt>
                <c:pt idx="21">
                  <c:v>-0.13</c:v>
                </c:pt>
                <c:pt idx="22">
                  <c:v>-7.0000000000000007E-2</c:v>
                </c:pt>
                <c:pt idx="23">
                  <c:v>0.15</c:v>
                </c:pt>
                <c:pt idx="24">
                  <c:v>0.05</c:v>
                </c:pt>
                <c:pt idx="25">
                  <c:v>-0.14000000000000001</c:v>
                </c:pt>
                <c:pt idx="26">
                  <c:v>0.01</c:v>
                </c:pt>
                <c:pt idx="27">
                  <c:v>0.2</c:v>
                </c:pt>
                <c:pt idx="28">
                  <c:v>0.1</c:v>
                </c:pt>
                <c:pt idx="29">
                  <c:v>-0.09</c:v>
                </c:pt>
                <c:pt idx="30">
                  <c:v>-0.11</c:v>
                </c:pt>
                <c:pt idx="31">
                  <c:v>0.15</c:v>
                </c:pt>
                <c:pt idx="32">
                  <c:v>0.11</c:v>
                </c:pt>
                <c:pt idx="33">
                  <c:v>-0.01</c:v>
                </c:pt>
                <c:pt idx="34">
                  <c:v>0.13</c:v>
                </c:pt>
                <c:pt idx="35">
                  <c:v>-0.11</c:v>
                </c:pt>
                <c:pt idx="36">
                  <c:v>-0.01</c:v>
                </c:pt>
                <c:pt idx="37">
                  <c:v>0.09</c:v>
                </c:pt>
                <c:pt idx="38">
                  <c:v>0.2</c:v>
                </c:pt>
                <c:pt idx="39">
                  <c:v>0.12</c:v>
                </c:pt>
                <c:pt idx="40">
                  <c:v>0.08</c:v>
                </c:pt>
                <c:pt idx="41">
                  <c:v>0.01</c:v>
                </c:pt>
                <c:pt idx="42">
                  <c:v>-0.11</c:v>
                </c:pt>
                <c:pt idx="43">
                  <c:v>0.13</c:v>
                </c:pt>
                <c:pt idx="44">
                  <c:v>0.16</c:v>
                </c:pt>
                <c:pt idx="45">
                  <c:v>0.15</c:v>
                </c:pt>
                <c:pt idx="46">
                  <c:v>-0.05</c:v>
                </c:pt>
                <c:pt idx="47">
                  <c:v>0.04</c:v>
                </c:pt>
                <c:pt idx="48">
                  <c:v>0.01</c:v>
                </c:pt>
                <c:pt idx="49">
                  <c:v>0.19</c:v>
                </c:pt>
                <c:pt idx="50">
                  <c:v>0.13</c:v>
                </c:pt>
                <c:pt idx="51">
                  <c:v>-0.02</c:v>
                </c:pt>
                <c:pt idx="52">
                  <c:v>-0.05</c:v>
                </c:pt>
                <c:pt idx="53">
                  <c:v>0.05</c:v>
                </c:pt>
                <c:pt idx="54">
                  <c:v>0.03</c:v>
                </c:pt>
                <c:pt idx="55">
                  <c:v>0.13</c:v>
                </c:pt>
                <c:pt idx="56">
                  <c:v>0.04</c:v>
                </c:pt>
                <c:pt idx="57">
                  <c:v>-0.13</c:v>
                </c:pt>
                <c:pt idx="58">
                  <c:v>-0.15</c:v>
                </c:pt>
                <c:pt idx="59">
                  <c:v>-0.12</c:v>
                </c:pt>
                <c:pt idx="60">
                  <c:v>0.13</c:v>
                </c:pt>
                <c:pt idx="61">
                  <c:v>7.0000000000000007E-2</c:v>
                </c:pt>
                <c:pt idx="62">
                  <c:v>-0.01</c:v>
                </c:pt>
                <c:pt idx="63">
                  <c:v>-0.06</c:v>
                </c:pt>
                <c:pt idx="64">
                  <c:v>-0.02</c:v>
                </c:pt>
                <c:pt idx="65">
                  <c:v>0.13</c:v>
                </c:pt>
                <c:pt idx="66">
                  <c:v>0.06</c:v>
                </c:pt>
                <c:pt idx="67">
                  <c:v>0.05</c:v>
                </c:pt>
                <c:pt idx="68">
                  <c:v>-0.14000000000000001</c:v>
                </c:pt>
                <c:pt idx="69">
                  <c:v>0.01</c:v>
                </c:pt>
                <c:pt idx="70">
                  <c:v>-0.1</c:v>
                </c:pt>
                <c:pt idx="71">
                  <c:v>0.11</c:v>
                </c:pt>
                <c:pt idx="72">
                  <c:v>0.02</c:v>
                </c:pt>
                <c:pt idx="73">
                  <c:v>-0.09</c:v>
                </c:pt>
                <c:pt idx="74">
                  <c:v>0.19</c:v>
                </c:pt>
                <c:pt idx="75">
                  <c:v>0.15</c:v>
                </c:pt>
                <c:pt idx="76">
                  <c:v>-7.0000000000000007E-2</c:v>
                </c:pt>
                <c:pt idx="77">
                  <c:v>0.04</c:v>
                </c:pt>
                <c:pt idx="78">
                  <c:v>-0.1</c:v>
                </c:pt>
                <c:pt idx="79">
                  <c:v>-0.02</c:v>
                </c:pt>
                <c:pt idx="80">
                  <c:v>-0.1</c:v>
                </c:pt>
                <c:pt idx="81">
                  <c:v>7.0000000000000007E-2</c:v>
                </c:pt>
                <c:pt idx="82">
                  <c:v>0.17</c:v>
                </c:pt>
                <c:pt idx="83">
                  <c:v>0.18</c:v>
                </c:pt>
                <c:pt idx="84">
                  <c:v>-0.12</c:v>
                </c:pt>
                <c:pt idx="85">
                  <c:v>0.19</c:v>
                </c:pt>
                <c:pt idx="86">
                  <c:v>-0.12</c:v>
                </c:pt>
                <c:pt idx="87">
                  <c:v>-0.15</c:v>
                </c:pt>
                <c:pt idx="88">
                  <c:v>0.1</c:v>
                </c:pt>
                <c:pt idx="89">
                  <c:v>0</c:v>
                </c:pt>
                <c:pt idx="90">
                  <c:v>0.2</c:v>
                </c:pt>
                <c:pt idx="91">
                  <c:v>0</c:v>
                </c:pt>
                <c:pt idx="92">
                  <c:v>0.09</c:v>
                </c:pt>
                <c:pt idx="93">
                  <c:v>-0.05</c:v>
                </c:pt>
                <c:pt idx="94">
                  <c:v>0.14000000000000001</c:v>
                </c:pt>
                <c:pt idx="95">
                  <c:v>-0.11</c:v>
                </c:pt>
                <c:pt idx="96">
                  <c:v>0.01</c:v>
                </c:pt>
                <c:pt idx="97">
                  <c:v>0.02</c:v>
                </c:pt>
                <c:pt idx="98">
                  <c:v>-0.11</c:v>
                </c:pt>
                <c:pt idx="99">
                  <c:v>-0.12</c:v>
                </c:pt>
                <c:pt idx="100">
                  <c:v>0.18</c:v>
                </c:pt>
                <c:pt idx="101">
                  <c:v>-0.13</c:v>
                </c:pt>
                <c:pt idx="102">
                  <c:v>0.1</c:v>
                </c:pt>
                <c:pt idx="103">
                  <c:v>-0.11</c:v>
                </c:pt>
                <c:pt idx="104">
                  <c:v>0.01</c:v>
                </c:pt>
                <c:pt idx="105">
                  <c:v>-0.13</c:v>
                </c:pt>
                <c:pt idx="106">
                  <c:v>0.03</c:v>
                </c:pt>
                <c:pt idx="107">
                  <c:v>0</c:v>
                </c:pt>
                <c:pt idx="108">
                  <c:v>0.12</c:v>
                </c:pt>
                <c:pt idx="109">
                  <c:v>0.12</c:v>
                </c:pt>
                <c:pt idx="110">
                  <c:v>0.08</c:v>
                </c:pt>
                <c:pt idx="111">
                  <c:v>0.08</c:v>
                </c:pt>
                <c:pt idx="112">
                  <c:v>0.14000000000000001</c:v>
                </c:pt>
                <c:pt idx="113">
                  <c:v>0.06</c:v>
                </c:pt>
                <c:pt idx="114">
                  <c:v>-0.04</c:v>
                </c:pt>
                <c:pt idx="115">
                  <c:v>-0.01</c:v>
                </c:pt>
                <c:pt idx="116">
                  <c:v>-0.11</c:v>
                </c:pt>
                <c:pt idx="117">
                  <c:v>0.18</c:v>
                </c:pt>
                <c:pt idx="118">
                  <c:v>0.09</c:v>
                </c:pt>
                <c:pt idx="119">
                  <c:v>-0.14000000000000001</c:v>
                </c:pt>
                <c:pt idx="120">
                  <c:v>0.19</c:v>
                </c:pt>
                <c:pt idx="121">
                  <c:v>-0.06</c:v>
                </c:pt>
                <c:pt idx="122">
                  <c:v>0.08</c:v>
                </c:pt>
                <c:pt idx="123">
                  <c:v>0.14000000000000001</c:v>
                </c:pt>
                <c:pt idx="124">
                  <c:v>0.14000000000000001</c:v>
                </c:pt>
                <c:pt idx="125">
                  <c:v>-0.09</c:v>
                </c:pt>
                <c:pt idx="126">
                  <c:v>-0.15</c:v>
                </c:pt>
                <c:pt idx="127">
                  <c:v>-0.02</c:v>
                </c:pt>
                <c:pt idx="128">
                  <c:v>-0.08</c:v>
                </c:pt>
                <c:pt idx="129">
                  <c:v>0.17</c:v>
                </c:pt>
                <c:pt idx="130">
                  <c:v>-0.14000000000000001</c:v>
                </c:pt>
                <c:pt idx="131">
                  <c:v>0.1</c:v>
                </c:pt>
                <c:pt idx="132">
                  <c:v>0.09</c:v>
                </c:pt>
                <c:pt idx="133">
                  <c:v>-7.0000000000000007E-2</c:v>
                </c:pt>
                <c:pt idx="134">
                  <c:v>0.04</c:v>
                </c:pt>
                <c:pt idx="135">
                  <c:v>-0.03</c:v>
                </c:pt>
                <c:pt idx="136">
                  <c:v>-0.12</c:v>
                </c:pt>
                <c:pt idx="137">
                  <c:v>0.09</c:v>
                </c:pt>
                <c:pt idx="138">
                  <c:v>0.1</c:v>
                </c:pt>
                <c:pt idx="139">
                  <c:v>-0.01</c:v>
                </c:pt>
                <c:pt idx="140">
                  <c:v>-0.03</c:v>
                </c:pt>
                <c:pt idx="141">
                  <c:v>0.08</c:v>
                </c:pt>
                <c:pt idx="142">
                  <c:v>-0.08</c:v>
                </c:pt>
                <c:pt idx="143">
                  <c:v>0.1</c:v>
                </c:pt>
                <c:pt idx="144">
                  <c:v>0.12</c:v>
                </c:pt>
                <c:pt idx="145">
                  <c:v>-0.03</c:v>
                </c:pt>
                <c:pt idx="146">
                  <c:v>-0.1</c:v>
                </c:pt>
                <c:pt idx="147">
                  <c:v>0.14000000000000001</c:v>
                </c:pt>
                <c:pt idx="148">
                  <c:v>7.0000000000000007E-2</c:v>
                </c:pt>
                <c:pt idx="149">
                  <c:v>0.17</c:v>
                </c:pt>
                <c:pt idx="150">
                  <c:v>0.11</c:v>
                </c:pt>
                <c:pt idx="151">
                  <c:v>0.16</c:v>
                </c:pt>
                <c:pt idx="152">
                  <c:v>0.13</c:v>
                </c:pt>
                <c:pt idx="153">
                  <c:v>0.16</c:v>
                </c:pt>
                <c:pt idx="154">
                  <c:v>0.03</c:v>
                </c:pt>
                <c:pt idx="155">
                  <c:v>-0.15</c:v>
                </c:pt>
                <c:pt idx="156">
                  <c:v>-0.08</c:v>
                </c:pt>
                <c:pt idx="157">
                  <c:v>0.04</c:v>
                </c:pt>
                <c:pt idx="158">
                  <c:v>0.2</c:v>
                </c:pt>
                <c:pt idx="159">
                  <c:v>-0.05</c:v>
                </c:pt>
                <c:pt idx="160">
                  <c:v>0.16</c:v>
                </c:pt>
                <c:pt idx="161">
                  <c:v>0.09</c:v>
                </c:pt>
                <c:pt idx="162">
                  <c:v>0.04</c:v>
                </c:pt>
                <c:pt idx="163">
                  <c:v>0.19</c:v>
                </c:pt>
                <c:pt idx="164">
                  <c:v>-0.15</c:v>
                </c:pt>
                <c:pt idx="165">
                  <c:v>0.14000000000000001</c:v>
                </c:pt>
                <c:pt idx="166">
                  <c:v>-7.0000000000000007E-2</c:v>
                </c:pt>
                <c:pt idx="167">
                  <c:v>-7.0000000000000007E-2</c:v>
                </c:pt>
                <c:pt idx="168">
                  <c:v>-0.12</c:v>
                </c:pt>
                <c:pt idx="169">
                  <c:v>-0.15</c:v>
                </c:pt>
                <c:pt idx="170">
                  <c:v>0.1</c:v>
                </c:pt>
                <c:pt idx="171">
                  <c:v>0.1</c:v>
                </c:pt>
                <c:pt idx="172">
                  <c:v>0.15</c:v>
                </c:pt>
                <c:pt idx="173">
                  <c:v>0</c:v>
                </c:pt>
                <c:pt idx="174">
                  <c:v>-0.06</c:v>
                </c:pt>
                <c:pt idx="175">
                  <c:v>-0.12</c:v>
                </c:pt>
                <c:pt idx="176">
                  <c:v>0.1</c:v>
                </c:pt>
                <c:pt idx="177">
                  <c:v>-0.12</c:v>
                </c:pt>
                <c:pt idx="178">
                  <c:v>0.12</c:v>
                </c:pt>
                <c:pt idx="179">
                  <c:v>0.08</c:v>
                </c:pt>
                <c:pt idx="180">
                  <c:v>0</c:v>
                </c:pt>
                <c:pt idx="181">
                  <c:v>-0.15</c:v>
                </c:pt>
                <c:pt idx="182">
                  <c:v>0.02</c:v>
                </c:pt>
                <c:pt idx="183">
                  <c:v>-0.05</c:v>
                </c:pt>
                <c:pt idx="184">
                  <c:v>-0.08</c:v>
                </c:pt>
                <c:pt idx="185">
                  <c:v>7.0000000000000007E-2</c:v>
                </c:pt>
                <c:pt idx="186">
                  <c:v>-0.04</c:v>
                </c:pt>
                <c:pt idx="187">
                  <c:v>0.18</c:v>
                </c:pt>
                <c:pt idx="188">
                  <c:v>0.19</c:v>
                </c:pt>
                <c:pt idx="189">
                  <c:v>-0.02</c:v>
                </c:pt>
                <c:pt idx="190">
                  <c:v>-0.06</c:v>
                </c:pt>
                <c:pt idx="191">
                  <c:v>-0.13</c:v>
                </c:pt>
                <c:pt idx="192">
                  <c:v>-0.05</c:v>
                </c:pt>
                <c:pt idx="193">
                  <c:v>-0.02</c:v>
                </c:pt>
                <c:pt idx="194">
                  <c:v>-0.14000000000000001</c:v>
                </c:pt>
                <c:pt idx="195">
                  <c:v>0.08</c:v>
                </c:pt>
                <c:pt idx="196">
                  <c:v>-0.11</c:v>
                </c:pt>
                <c:pt idx="197">
                  <c:v>0.16</c:v>
                </c:pt>
                <c:pt idx="198">
                  <c:v>0.18</c:v>
                </c:pt>
                <c:pt idx="199">
                  <c:v>-0.05</c:v>
                </c:pt>
                <c:pt idx="200">
                  <c:v>0.06</c:v>
                </c:pt>
                <c:pt idx="201">
                  <c:v>0.06</c:v>
                </c:pt>
                <c:pt idx="202">
                  <c:v>0.16</c:v>
                </c:pt>
                <c:pt idx="203">
                  <c:v>0.05</c:v>
                </c:pt>
                <c:pt idx="204">
                  <c:v>-0.14000000000000001</c:v>
                </c:pt>
                <c:pt idx="205">
                  <c:v>7.0000000000000007E-2</c:v>
                </c:pt>
                <c:pt idx="206">
                  <c:v>-0.03</c:v>
                </c:pt>
                <c:pt idx="207">
                  <c:v>0.18</c:v>
                </c:pt>
                <c:pt idx="208">
                  <c:v>-7.0000000000000007E-2</c:v>
                </c:pt>
                <c:pt idx="209">
                  <c:v>-0.1</c:v>
                </c:pt>
                <c:pt idx="210">
                  <c:v>-0.05</c:v>
                </c:pt>
                <c:pt idx="211">
                  <c:v>-0.04</c:v>
                </c:pt>
                <c:pt idx="212">
                  <c:v>0.04</c:v>
                </c:pt>
                <c:pt idx="213">
                  <c:v>-0.08</c:v>
                </c:pt>
                <c:pt idx="214">
                  <c:v>0.12</c:v>
                </c:pt>
                <c:pt idx="215">
                  <c:v>0.09</c:v>
                </c:pt>
                <c:pt idx="216">
                  <c:v>0</c:v>
                </c:pt>
                <c:pt idx="217">
                  <c:v>-0.06</c:v>
                </c:pt>
                <c:pt idx="218">
                  <c:v>0.17</c:v>
                </c:pt>
                <c:pt idx="219">
                  <c:v>0.18</c:v>
                </c:pt>
                <c:pt idx="220">
                  <c:v>-0.09</c:v>
                </c:pt>
                <c:pt idx="221">
                  <c:v>0.15</c:v>
                </c:pt>
                <c:pt idx="222">
                  <c:v>-0.04</c:v>
                </c:pt>
                <c:pt idx="223">
                  <c:v>0.08</c:v>
                </c:pt>
                <c:pt idx="224">
                  <c:v>0.18</c:v>
                </c:pt>
                <c:pt idx="225">
                  <c:v>-0.11</c:v>
                </c:pt>
                <c:pt idx="226">
                  <c:v>7.0000000000000007E-2</c:v>
                </c:pt>
                <c:pt idx="227">
                  <c:v>-0.13</c:v>
                </c:pt>
                <c:pt idx="228">
                  <c:v>-0.03</c:v>
                </c:pt>
                <c:pt idx="229">
                  <c:v>0.18</c:v>
                </c:pt>
                <c:pt idx="230">
                  <c:v>-0.14000000000000001</c:v>
                </c:pt>
                <c:pt idx="231">
                  <c:v>-0.11</c:v>
                </c:pt>
                <c:pt idx="232">
                  <c:v>-0.12</c:v>
                </c:pt>
                <c:pt idx="233">
                  <c:v>0.04</c:v>
                </c:pt>
                <c:pt idx="234">
                  <c:v>-0.1</c:v>
                </c:pt>
                <c:pt idx="235">
                  <c:v>-0.08</c:v>
                </c:pt>
                <c:pt idx="236">
                  <c:v>-0.02</c:v>
                </c:pt>
                <c:pt idx="237">
                  <c:v>-7.0000000000000007E-2</c:v>
                </c:pt>
                <c:pt idx="238">
                  <c:v>-0.13</c:v>
                </c:pt>
                <c:pt idx="239">
                  <c:v>0.13</c:v>
                </c:pt>
                <c:pt idx="240">
                  <c:v>0.19</c:v>
                </c:pt>
                <c:pt idx="241">
                  <c:v>0.18</c:v>
                </c:pt>
                <c:pt idx="242">
                  <c:v>0</c:v>
                </c:pt>
                <c:pt idx="243">
                  <c:v>-0.14000000000000001</c:v>
                </c:pt>
                <c:pt idx="244">
                  <c:v>0.15</c:v>
                </c:pt>
                <c:pt idx="245">
                  <c:v>0.15</c:v>
                </c:pt>
                <c:pt idx="246">
                  <c:v>0.15</c:v>
                </c:pt>
                <c:pt idx="247">
                  <c:v>-0.1</c:v>
                </c:pt>
                <c:pt idx="248">
                  <c:v>0</c:v>
                </c:pt>
                <c:pt idx="249">
                  <c:v>0.03</c:v>
                </c:pt>
                <c:pt idx="250">
                  <c:v>0.17</c:v>
                </c:pt>
                <c:pt idx="251">
                  <c:v>-0.08</c:v>
                </c:pt>
                <c:pt idx="252">
                  <c:v>-0.1</c:v>
                </c:pt>
                <c:pt idx="253">
                  <c:v>-0.14000000000000001</c:v>
                </c:pt>
                <c:pt idx="254">
                  <c:v>-0.03</c:v>
                </c:pt>
                <c:pt idx="255">
                  <c:v>7.0000000000000007E-2</c:v>
                </c:pt>
                <c:pt idx="256">
                  <c:v>-0.01</c:v>
                </c:pt>
                <c:pt idx="257">
                  <c:v>-0.11</c:v>
                </c:pt>
                <c:pt idx="258">
                  <c:v>0.01</c:v>
                </c:pt>
                <c:pt idx="259">
                  <c:v>-0.14000000000000001</c:v>
                </c:pt>
                <c:pt idx="260">
                  <c:v>0.12</c:v>
                </c:pt>
                <c:pt idx="261">
                  <c:v>-0.08</c:v>
                </c:pt>
                <c:pt idx="262">
                  <c:v>0.08</c:v>
                </c:pt>
                <c:pt idx="263">
                  <c:v>0.05</c:v>
                </c:pt>
                <c:pt idx="264">
                  <c:v>0.17</c:v>
                </c:pt>
                <c:pt idx="265">
                  <c:v>-0.1</c:v>
                </c:pt>
                <c:pt idx="266">
                  <c:v>0.19</c:v>
                </c:pt>
                <c:pt idx="267">
                  <c:v>0.08</c:v>
                </c:pt>
                <c:pt idx="268">
                  <c:v>-0.14000000000000001</c:v>
                </c:pt>
                <c:pt idx="269">
                  <c:v>0.08</c:v>
                </c:pt>
                <c:pt idx="270">
                  <c:v>0.2</c:v>
                </c:pt>
                <c:pt idx="271">
                  <c:v>-0.02</c:v>
                </c:pt>
                <c:pt idx="272">
                  <c:v>7.0000000000000007E-2</c:v>
                </c:pt>
                <c:pt idx="273">
                  <c:v>0.17</c:v>
                </c:pt>
                <c:pt idx="274">
                  <c:v>-0.03</c:v>
                </c:pt>
                <c:pt idx="275">
                  <c:v>-0.06</c:v>
                </c:pt>
                <c:pt idx="276">
                  <c:v>0.05</c:v>
                </c:pt>
                <c:pt idx="277">
                  <c:v>7.0000000000000007E-2</c:v>
                </c:pt>
                <c:pt idx="278">
                  <c:v>-0.12</c:v>
                </c:pt>
                <c:pt idx="279">
                  <c:v>0.08</c:v>
                </c:pt>
                <c:pt idx="280">
                  <c:v>-0.13</c:v>
                </c:pt>
                <c:pt idx="281">
                  <c:v>-0.02</c:v>
                </c:pt>
                <c:pt idx="282">
                  <c:v>0.11</c:v>
                </c:pt>
                <c:pt idx="283">
                  <c:v>0.19</c:v>
                </c:pt>
                <c:pt idx="284">
                  <c:v>7.0000000000000007E-2</c:v>
                </c:pt>
                <c:pt idx="285">
                  <c:v>0.17</c:v>
                </c:pt>
                <c:pt idx="286">
                  <c:v>-0.02</c:v>
                </c:pt>
                <c:pt idx="287">
                  <c:v>-0.05</c:v>
                </c:pt>
                <c:pt idx="288">
                  <c:v>0.14000000000000001</c:v>
                </c:pt>
                <c:pt idx="289">
                  <c:v>7.0000000000000007E-2</c:v>
                </c:pt>
                <c:pt idx="290">
                  <c:v>0.01</c:v>
                </c:pt>
                <c:pt idx="291">
                  <c:v>-0.05</c:v>
                </c:pt>
                <c:pt idx="292">
                  <c:v>0.14000000000000001</c:v>
                </c:pt>
                <c:pt idx="293">
                  <c:v>0</c:v>
                </c:pt>
                <c:pt idx="294">
                  <c:v>0.14000000000000001</c:v>
                </c:pt>
                <c:pt idx="295">
                  <c:v>0.05</c:v>
                </c:pt>
                <c:pt idx="296">
                  <c:v>-0.06</c:v>
                </c:pt>
                <c:pt idx="297">
                  <c:v>0.14000000000000001</c:v>
                </c:pt>
                <c:pt idx="298">
                  <c:v>0.15</c:v>
                </c:pt>
                <c:pt idx="299">
                  <c:v>0</c:v>
                </c:pt>
                <c:pt idx="300">
                  <c:v>0.15</c:v>
                </c:pt>
                <c:pt idx="301">
                  <c:v>0.11</c:v>
                </c:pt>
                <c:pt idx="302">
                  <c:v>0.01</c:v>
                </c:pt>
                <c:pt idx="303">
                  <c:v>-0.08</c:v>
                </c:pt>
                <c:pt idx="304">
                  <c:v>0.13</c:v>
                </c:pt>
                <c:pt idx="305">
                  <c:v>0</c:v>
                </c:pt>
                <c:pt idx="306">
                  <c:v>0.06</c:v>
                </c:pt>
                <c:pt idx="307">
                  <c:v>0.14000000000000001</c:v>
                </c:pt>
                <c:pt idx="308">
                  <c:v>-0.1</c:v>
                </c:pt>
                <c:pt idx="309">
                  <c:v>-0.03</c:v>
                </c:pt>
                <c:pt idx="310">
                  <c:v>0.01</c:v>
                </c:pt>
                <c:pt idx="311">
                  <c:v>-0.03</c:v>
                </c:pt>
                <c:pt idx="312">
                  <c:v>7.0000000000000007E-2</c:v>
                </c:pt>
                <c:pt idx="313">
                  <c:v>0.14000000000000001</c:v>
                </c:pt>
                <c:pt idx="314">
                  <c:v>-0.14000000000000001</c:v>
                </c:pt>
                <c:pt idx="315">
                  <c:v>0.03</c:v>
                </c:pt>
                <c:pt idx="316">
                  <c:v>-0.02</c:v>
                </c:pt>
                <c:pt idx="317">
                  <c:v>-0.11</c:v>
                </c:pt>
                <c:pt idx="318">
                  <c:v>0.16</c:v>
                </c:pt>
                <c:pt idx="319">
                  <c:v>0.05</c:v>
                </c:pt>
                <c:pt idx="320">
                  <c:v>0.16</c:v>
                </c:pt>
                <c:pt idx="321">
                  <c:v>0.06</c:v>
                </c:pt>
                <c:pt idx="322">
                  <c:v>0.03</c:v>
                </c:pt>
                <c:pt idx="323">
                  <c:v>0.1</c:v>
                </c:pt>
                <c:pt idx="324">
                  <c:v>0</c:v>
                </c:pt>
                <c:pt idx="325">
                  <c:v>0.12</c:v>
                </c:pt>
                <c:pt idx="326">
                  <c:v>-0.05</c:v>
                </c:pt>
                <c:pt idx="327">
                  <c:v>0.08</c:v>
                </c:pt>
                <c:pt idx="328">
                  <c:v>-0.11</c:v>
                </c:pt>
                <c:pt idx="329">
                  <c:v>0.02</c:v>
                </c:pt>
                <c:pt idx="330">
                  <c:v>-0.13</c:v>
                </c:pt>
                <c:pt idx="331">
                  <c:v>0.06</c:v>
                </c:pt>
                <c:pt idx="332">
                  <c:v>0.02</c:v>
                </c:pt>
                <c:pt idx="333">
                  <c:v>-7.0000000000000007E-2</c:v>
                </c:pt>
                <c:pt idx="334">
                  <c:v>0</c:v>
                </c:pt>
                <c:pt idx="335">
                  <c:v>0.06</c:v>
                </c:pt>
                <c:pt idx="336">
                  <c:v>0.06</c:v>
                </c:pt>
                <c:pt idx="337">
                  <c:v>-0.04</c:v>
                </c:pt>
                <c:pt idx="338">
                  <c:v>0.02</c:v>
                </c:pt>
                <c:pt idx="339">
                  <c:v>-0.12</c:v>
                </c:pt>
                <c:pt idx="340">
                  <c:v>0.2</c:v>
                </c:pt>
                <c:pt idx="341">
                  <c:v>-0.15</c:v>
                </c:pt>
                <c:pt idx="342">
                  <c:v>0.05</c:v>
                </c:pt>
                <c:pt idx="343">
                  <c:v>-0.05</c:v>
                </c:pt>
                <c:pt idx="344">
                  <c:v>0.06</c:v>
                </c:pt>
                <c:pt idx="345">
                  <c:v>0</c:v>
                </c:pt>
                <c:pt idx="346">
                  <c:v>-0.05</c:v>
                </c:pt>
                <c:pt idx="347">
                  <c:v>0.04</c:v>
                </c:pt>
                <c:pt idx="348">
                  <c:v>-0.01</c:v>
                </c:pt>
                <c:pt idx="349">
                  <c:v>0.02</c:v>
                </c:pt>
                <c:pt idx="350">
                  <c:v>0.16</c:v>
                </c:pt>
                <c:pt idx="351">
                  <c:v>0.16</c:v>
                </c:pt>
                <c:pt idx="352">
                  <c:v>7.0000000000000007E-2</c:v>
                </c:pt>
                <c:pt idx="353">
                  <c:v>0.01</c:v>
                </c:pt>
                <c:pt idx="354">
                  <c:v>0.13</c:v>
                </c:pt>
                <c:pt idx="355">
                  <c:v>0.13</c:v>
                </c:pt>
                <c:pt idx="356">
                  <c:v>-0.1</c:v>
                </c:pt>
                <c:pt idx="357">
                  <c:v>0.06</c:v>
                </c:pt>
                <c:pt idx="358">
                  <c:v>-0.06</c:v>
                </c:pt>
                <c:pt idx="359">
                  <c:v>-0.15</c:v>
                </c:pt>
                <c:pt idx="360">
                  <c:v>-0.1</c:v>
                </c:pt>
                <c:pt idx="361">
                  <c:v>-0.05</c:v>
                </c:pt>
                <c:pt idx="362">
                  <c:v>0.1</c:v>
                </c:pt>
                <c:pt idx="363">
                  <c:v>0.08</c:v>
                </c:pt>
                <c:pt idx="364">
                  <c:v>0.1</c:v>
                </c:pt>
                <c:pt idx="365">
                  <c:v>-7.0000000000000007E-2</c:v>
                </c:pt>
                <c:pt idx="366">
                  <c:v>0.08</c:v>
                </c:pt>
                <c:pt idx="367">
                  <c:v>0.02</c:v>
                </c:pt>
                <c:pt idx="368">
                  <c:v>-0.04</c:v>
                </c:pt>
                <c:pt idx="369">
                  <c:v>0.06</c:v>
                </c:pt>
                <c:pt idx="370">
                  <c:v>-0.14000000000000001</c:v>
                </c:pt>
                <c:pt idx="371">
                  <c:v>-0.15</c:v>
                </c:pt>
                <c:pt idx="372">
                  <c:v>0.02</c:v>
                </c:pt>
                <c:pt idx="373">
                  <c:v>-0.03</c:v>
                </c:pt>
                <c:pt idx="374">
                  <c:v>0.13</c:v>
                </c:pt>
                <c:pt idx="375">
                  <c:v>0.1</c:v>
                </c:pt>
                <c:pt idx="376">
                  <c:v>0</c:v>
                </c:pt>
                <c:pt idx="377">
                  <c:v>-0.14000000000000001</c:v>
                </c:pt>
                <c:pt idx="378">
                  <c:v>-0.15</c:v>
                </c:pt>
                <c:pt idx="379">
                  <c:v>7.0000000000000007E-2</c:v>
                </c:pt>
                <c:pt idx="380">
                  <c:v>0.15</c:v>
                </c:pt>
                <c:pt idx="381">
                  <c:v>0.12</c:v>
                </c:pt>
                <c:pt idx="382">
                  <c:v>-0.11</c:v>
                </c:pt>
                <c:pt idx="383">
                  <c:v>0.09</c:v>
                </c:pt>
                <c:pt idx="384">
                  <c:v>0.02</c:v>
                </c:pt>
                <c:pt idx="385">
                  <c:v>0.05</c:v>
                </c:pt>
                <c:pt idx="386">
                  <c:v>0.14000000000000001</c:v>
                </c:pt>
                <c:pt idx="387">
                  <c:v>0.03</c:v>
                </c:pt>
                <c:pt idx="388">
                  <c:v>7.0000000000000007E-2</c:v>
                </c:pt>
                <c:pt idx="389">
                  <c:v>0</c:v>
                </c:pt>
                <c:pt idx="390">
                  <c:v>-0.02</c:v>
                </c:pt>
                <c:pt idx="391">
                  <c:v>0.19</c:v>
                </c:pt>
                <c:pt idx="392">
                  <c:v>-0.01</c:v>
                </c:pt>
                <c:pt idx="393">
                  <c:v>0.04</c:v>
                </c:pt>
                <c:pt idx="394">
                  <c:v>0.04</c:v>
                </c:pt>
                <c:pt idx="395">
                  <c:v>0.05</c:v>
                </c:pt>
                <c:pt idx="396">
                  <c:v>-0.14000000000000001</c:v>
                </c:pt>
                <c:pt idx="397">
                  <c:v>7.0000000000000007E-2</c:v>
                </c:pt>
                <c:pt idx="398">
                  <c:v>-0.03</c:v>
                </c:pt>
                <c:pt idx="399">
                  <c:v>0.1</c:v>
                </c:pt>
                <c:pt idx="400">
                  <c:v>-0.1</c:v>
                </c:pt>
                <c:pt idx="401">
                  <c:v>0</c:v>
                </c:pt>
                <c:pt idx="402">
                  <c:v>-0.15</c:v>
                </c:pt>
                <c:pt idx="403">
                  <c:v>-0.02</c:v>
                </c:pt>
                <c:pt idx="404">
                  <c:v>0.03</c:v>
                </c:pt>
                <c:pt idx="405">
                  <c:v>0.2</c:v>
                </c:pt>
                <c:pt idx="406">
                  <c:v>0.17</c:v>
                </c:pt>
                <c:pt idx="407">
                  <c:v>-0.13</c:v>
                </c:pt>
                <c:pt idx="408">
                  <c:v>0.09</c:v>
                </c:pt>
                <c:pt idx="409">
                  <c:v>0.08</c:v>
                </c:pt>
                <c:pt idx="410">
                  <c:v>0.05</c:v>
                </c:pt>
                <c:pt idx="411">
                  <c:v>-0.02</c:v>
                </c:pt>
                <c:pt idx="412">
                  <c:v>-0.09</c:v>
                </c:pt>
                <c:pt idx="413">
                  <c:v>0.13</c:v>
                </c:pt>
                <c:pt idx="414">
                  <c:v>-0.06</c:v>
                </c:pt>
                <c:pt idx="415">
                  <c:v>0.01</c:v>
                </c:pt>
                <c:pt idx="416">
                  <c:v>-0.05</c:v>
                </c:pt>
                <c:pt idx="417">
                  <c:v>0.12</c:v>
                </c:pt>
                <c:pt idx="418">
                  <c:v>0.06</c:v>
                </c:pt>
                <c:pt idx="419">
                  <c:v>-0.15</c:v>
                </c:pt>
                <c:pt idx="420">
                  <c:v>-0.01</c:v>
                </c:pt>
                <c:pt idx="421">
                  <c:v>0.18</c:v>
                </c:pt>
                <c:pt idx="422">
                  <c:v>0.11</c:v>
                </c:pt>
                <c:pt idx="423">
                  <c:v>0.12</c:v>
                </c:pt>
                <c:pt idx="424">
                  <c:v>-0.06</c:v>
                </c:pt>
                <c:pt idx="425">
                  <c:v>7.0000000000000007E-2</c:v>
                </c:pt>
                <c:pt idx="426">
                  <c:v>-7.0000000000000007E-2</c:v>
                </c:pt>
                <c:pt idx="427">
                  <c:v>-0.1</c:v>
                </c:pt>
                <c:pt idx="428">
                  <c:v>0.14000000000000001</c:v>
                </c:pt>
                <c:pt idx="429">
                  <c:v>0.04</c:v>
                </c:pt>
                <c:pt idx="430">
                  <c:v>-0.14000000000000001</c:v>
                </c:pt>
                <c:pt idx="431">
                  <c:v>0.2</c:v>
                </c:pt>
                <c:pt idx="432">
                  <c:v>0.02</c:v>
                </c:pt>
                <c:pt idx="433">
                  <c:v>7.0000000000000007E-2</c:v>
                </c:pt>
                <c:pt idx="434">
                  <c:v>0.13</c:v>
                </c:pt>
                <c:pt idx="435">
                  <c:v>-0.15</c:v>
                </c:pt>
                <c:pt idx="436">
                  <c:v>0.03</c:v>
                </c:pt>
                <c:pt idx="437">
                  <c:v>0.12</c:v>
                </c:pt>
                <c:pt idx="438">
                  <c:v>0.1</c:v>
                </c:pt>
                <c:pt idx="439">
                  <c:v>-0.03</c:v>
                </c:pt>
                <c:pt idx="440">
                  <c:v>0.18</c:v>
                </c:pt>
                <c:pt idx="441">
                  <c:v>0.17</c:v>
                </c:pt>
                <c:pt idx="442">
                  <c:v>0.12</c:v>
                </c:pt>
                <c:pt idx="443">
                  <c:v>0.17</c:v>
                </c:pt>
                <c:pt idx="444">
                  <c:v>-0.01</c:v>
                </c:pt>
                <c:pt idx="445">
                  <c:v>0.16</c:v>
                </c:pt>
                <c:pt idx="446">
                  <c:v>-0.15</c:v>
                </c:pt>
                <c:pt idx="447">
                  <c:v>0</c:v>
                </c:pt>
                <c:pt idx="448">
                  <c:v>0.09</c:v>
                </c:pt>
                <c:pt idx="449">
                  <c:v>-0.02</c:v>
                </c:pt>
                <c:pt idx="450">
                  <c:v>-7.0000000000000007E-2</c:v>
                </c:pt>
                <c:pt idx="451">
                  <c:v>-0.1</c:v>
                </c:pt>
                <c:pt idx="452">
                  <c:v>0.09</c:v>
                </c:pt>
                <c:pt idx="453">
                  <c:v>-0.08</c:v>
                </c:pt>
                <c:pt idx="454">
                  <c:v>0.02</c:v>
                </c:pt>
                <c:pt idx="455">
                  <c:v>-0.05</c:v>
                </c:pt>
                <c:pt idx="456">
                  <c:v>0.11</c:v>
                </c:pt>
                <c:pt idx="457">
                  <c:v>0.12</c:v>
                </c:pt>
                <c:pt idx="458">
                  <c:v>0.01</c:v>
                </c:pt>
                <c:pt idx="459">
                  <c:v>-0.04</c:v>
                </c:pt>
                <c:pt idx="460">
                  <c:v>-0.08</c:v>
                </c:pt>
                <c:pt idx="461">
                  <c:v>-0.11</c:v>
                </c:pt>
                <c:pt idx="462">
                  <c:v>0.17</c:v>
                </c:pt>
                <c:pt idx="463">
                  <c:v>0.03</c:v>
                </c:pt>
                <c:pt idx="464">
                  <c:v>0.12</c:v>
                </c:pt>
                <c:pt idx="465">
                  <c:v>0.09</c:v>
                </c:pt>
                <c:pt idx="466">
                  <c:v>0.12</c:v>
                </c:pt>
                <c:pt idx="467">
                  <c:v>0.01</c:v>
                </c:pt>
                <c:pt idx="468">
                  <c:v>0.15</c:v>
                </c:pt>
                <c:pt idx="469">
                  <c:v>-0.13</c:v>
                </c:pt>
                <c:pt idx="470">
                  <c:v>0.1</c:v>
                </c:pt>
                <c:pt idx="471">
                  <c:v>0.12</c:v>
                </c:pt>
                <c:pt idx="472">
                  <c:v>0.04</c:v>
                </c:pt>
                <c:pt idx="473">
                  <c:v>0.06</c:v>
                </c:pt>
                <c:pt idx="474">
                  <c:v>0</c:v>
                </c:pt>
                <c:pt idx="475">
                  <c:v>0.1</c:v>
                </c:pt>
                <c:pt idx="476">
                  <c:v>-0.14000000000000001</c:v>
                </c:pt>
                <c:pt idx="477">
                  <c:v>-0.1</c:v>
                </c:pt>
                <c:pt idx="478">
                  <c:v>-0.04</c:v>
                </c:pt>
                <c:pt idx="479">
                  <c:v>-0.14000000000000001</c:v>
                </c:pt>
                <c:pt idx="480">
                  <c:v>-0.13</c:v>
                </c:pt>
                <c:pt idx="481">
                  <c:v>0.1</c:v>
                </c:pt>
                <c:pt idx="482">
                  <c:v>0.16</c:v>
                </c:pt>
                <c:pt idx="483">
                  <c:v>-0.02</c:v>
                </c:pt>
                <c:pt idx="484">
                  <c:v>-0.14000000000000001</c:v>
                </c:pt>
                <c:pt idx="485">
                  <c:v>-0.15</c:v>
                </c:pt>
                <c:pt idx="486">
                  <c:v>0.2</c:v>
                </c:pt>
                <c:pt idx="487">
                  <c:v>0</c:v>
                </c:pt>
                <c:pt idx="488">
                  <c:v>0.11</c:v>
                </c:pt>
                <c:pt idx="489">
                  <c:v>0.03</c:v>
                </c:pt>
                <c:pt idx="490">
                  <c:v>0.09</c:v>
                </c:pt>
                <c:pt idx="491">
                  <c:v>0.2</c:v>
                </c:pt>
                <c:pt idx="492">
                  <c:v>-0.15</c:v>
                </c:pt>
                <c:pt idx="493">
                  <c:v>-0.02</c:v>
                </c:pt>
                <c:pt idx="494">
                  <c:v>-0.15</c:v>
                </c:pt>
                <c:pt idx="495">
                  <c:v>-0.06</c:v>
                </c:pt>
                <c:pt idx="496">
                  <c:v>0.15</c:v>
                </c:pt>
                <c:pt idx="497">
                  <c:v>0.17</c:v>
                </c:pt>
                <c:pt idx="498">
                  <c:v>0.16</c:v>
                </c:pt>
                <c:pt idx="499">
                  <c:v>-0.02</c:v>
                </c:pt>
                <c:pt idx="500">
                  <c:v>0.14000000000000001</c:v>
                </c:pt>
                <c:pt idx="501">
                  <c:v>0.1</c:v>
                </c:pt>
                <c:pt idx="502">
                  <c:v>0.16</c:v>
                </c:pt>
                <c:pt idx="503">
                  <c:v>0.12</c:v>
                </c:pt>
                <c:pt idx="504">
                  <c:v>0.18</c:v>
                </c:pt>
                <c:pt idx="505">
                  <c:v>0.16</c:v>
                </c:pt>
                <c:pt idx="506">
                  <c:v>-0.05</c:v>
                </c:pt>
                <c:pt idx="507">
                  <c:v>0.18</c:v>
                </c:pt>
                <c:pt idx="508">
                  <c:v>0</c:v>
                </c:pt>
                <c:pt idx="509">
                  <c:v>0.08</c:v>
                </c:pt>
                <c:pt idx="510">
                  <c:v>0.16</c:v>
                </c:pt>
                <c:pt idx="511">
                  <c:v>-0.03</c:v>
                </c:pt>
                <c:pt idx="512">
                  <c:v>0.05</c:v>
                </c:pt>
                <c:pt idx="513">
                  <c:v>-0.11</c:v>
                </c:pt>
                <c:pt idx="514">
                  <c:v>0.15</c:v>
                </c:pt>
                <c:pt idx="515">
                  <c:v>0.06</c:v>
                </c:pt>
                <c:pt idx="516">
                  <c:v>-0.09</c:v>
                </c:pt>
                <c:pt idx="517">
                  <c:v>0.2</c:v>
                </c:pt>
                <c:pt idx="518">
                  <c:v>-0.13</c:v>
                </c:pt>
                <c:pt idx="519">
                  <c:v>-0.05</c:v>
                </c:pt>
                <c:pt idx="520">
                  <c:v>0.2</c:v>
                </c:pt>
                <c:pt idx="521">
                  <c:v>-0.08</c:v>
                </c:pt>
                <c:pt idx="522">
                  <c:v>-0.09</c:v>
                </c:pt>
                <c:pt idx="523">
                  <c:v>0.06</c:v>
                </c:pt>
                <c:pt idx="524">
                  <c:v>-0.02</c:v>
                </c:pt>
                <c:pt idx="525">
                  <c:v>-0.04</c:v>
                </c:pt>
                <c:pt idx="526">
                  <c:v>0.16</c:v>
                </c:pt>
                <c:pt idx="527">
                  <c:v>-7.0000000000000007E-2</c:v>
                </c:pt>
                <c:pt idx="528">
                  <c:v>-0.06</c:v>
                </c:pt>
                <c:pt idx="529">
                  <c:v>-0.08</c:v>
                </c:pt>
                <c:pt idx="530">
                  <c:v>-0.05</c:v>
                </c:pt>
                <c:pt idx="531">
                  <c:v>0</c:v>
                </c:pt>
                <c:pt idx="532">
                  <c:v>-0.01</c:v>
                </c:pt>
                <c:pt idx="533">
                  <c:v>7.0000000000000007E-2</c:v>
                </c:pt>
                <c:pt idx="534">
                  <c:v>0.13</c:v>
                </c:pt>
                <c:pt idx="535">
                  <c:v>0.03</c:v>
                </c:pt>
                <c:pt idx="536">
                  <c:v>-0.12</c:v>
                </c:pt>
                <c:pt idx="537">
                  <c:v>-0.15</c:v>
                </c:pt>
                <c:pt idx="538">
                  <c:v>0.12</c:v>
                </c:pt>
                <c:pt idx="539">
                  <c:v>0.2</c:v>
                </c:pt>
                <c:pt idx="540">
                  <c:v>0.12</c:v>
                </c:pt>
                <c:pt idx="541">
                  <c:v>-0.03</c:v>
                </c:pt>
                <c:pt idx="542">
                  <c:v>-0.09</c:v>
                </c:pt>
                <c:pt idx="543">
                  <c:v>0.14000000000000001</c:v>
                </c:pt>
                <c:pt idx="544">
                  <c:v>0.05</c:v>
                </c:pt>
                <c:pt idx="545">
                  <c:v>0.17</c:v>
                </c:pt>
                <c:pt idx="546">
                  <c:v>-0.04</c:v>
                </c:pt>
                <c:pt idx="547">
                  <c:v>0.13</c:v>
                </c:pt>
                <c:pt idx="548">
                  <c:v>0.03</c:v>
                </c:pt>
                <c:pt idx="549">
                  <c:v>0.02</c:v>
                </c:pt>
                <c:pt idx="550">
                  <c:v>0.02</c:v>
                </c:pt>
                <c:pt idx="551">
                  <c:v>-0.08</c:v>
                </c:pt>
                <c:pt idx="552">
                  <c:v>0</c:v>
                </c:pt>
                <c:pt idx="553">
                  <c:v>0.01</c:v>
                </c:pt>
                <c:pt idx="554">
                  <c:v>-0.01</c:v>
                </c:pt>
                <c:pt idx="555">
                  <c:v>0.06</c:v>
                </c:pt>
                <c:pt idx="556">
                  <c:v>0.12</c:v>
                </c:pt>
                <c:pt idx="557">
                  <c:v>0.02</c:v>
                </c:pt>
                <c:pt idx="558">
                  <c:v>-0.12</c:v>
                </c:pt>
                <c:pt idx="559">
                  <c:v>0.02</c:v>
                </c:pt>
                <c:pt idx="560">
                  <c:v>0.01</c:v>
                </c:pt>
                <c:pt idx="561">
                  <c:v>-0.09</c:v>
                </c:pt>
                <c:pt idx="562">
                  <c:v>0.02</c:v>
                </c:pt>
                <c:pt idx="563">
                  <c:v>-0.02</c:v>
                </c:pt>
                <c:pt idx="564">
                  <c:v>-0.13</c:v>
                </c:pt>
                <c:pt idx="565">
                  <c:v>0.06</c:v>
                </c:pt>
                <c:pt idx="566">
                  <c:v>0.17</c:v>
                </c:pt>
                <c:pt idx="567">
                  <c:v>-0.05</c:v>
                </c:pt>
                <c:pt idx="568">
                  <c:v>0.01</c:v>
                </c:pt>
                <c:pt idx="569">
                  <c:v>-0.06</c:v>
                </c:pt>
                <c:pt idx="570">
                  <c:v>-0.04</c:v>
                </c:pt>
                <c:pt idx="571">
                  <c:v>-0.12</c:v>
                </c:pt>
                <c:pt idx="572">
                  <c:v>0.08</c:v>
                </c:pt>
                <c:pt idx="573">
                  <c:v>-0.15</c:v>
                </c:pt>
                <c:pt idx="574">
                  <c:v>-0.04</c:v>
                </c:pt>
                <c:pt idx="575">
                  <c:v>0.04</c:v>
                </c:pt>
                <c:pt idx="576">
                  <c:v>0.19</c:v>
                </c:pt>
                <c:pt idx="577">
                  <c:v>0.02</c:v>
                </c:pt>
                <c:pt idx="578">
                  <c:v>-7.0000000000000007E-2</c:v>
                </c:pt>
                <c:pt idx="579">
                  <c:v>-0.1</c:v>
                </c:pt>
                <c:pt idx="580">
                  <c:v>-0.02</c:v>
                </c:pt>
                <c:pt idx="581">
                  <c:v>-0.15</c:v>
                </c:pt>
                <c:pt idx="582">
                  <c:v>0.02</c:v>
                </c:pt>
                <c:pt idx="583">
                  <c:v>0.01</c:v>
                </c:pt>
                <c:pt idx="584">
                  <c:v>-0.1</c:v>
                </c:pt>
                <c:pt idx="585">
                  <c:v>-0.02</c:v>
                </c:pt>
                <c:pt idx="586">
                  <c:v>0.03</c:v>
                </c:pt>
                <c:pt idx="587">
                  <c:v>-7.0000000000000007E-2</c:v>
                </c:pt>
                <c:pt idx="588">
                  <c:v>0.08</c:v>
                </c:pt>
                <c:pt idx="589">
                  <c:v>0.15</c:v>
                </c:pt>
                <c:pt idx="590">
                  <c:v>0.19</c:v>
                </c:pt>
                <c:pt idx="591">
                  <c:v>-0.01</c:v>
                </c:pt>
                <c:pt idx="592">
                  <c:v>0.04</c:v>
                </c:pt>
                <c:pt idx="593">
                  <c:v>0.15</c:v>
                </c:pt>
                <c:pt idx="594">
                  <c:v>0.16</c:v>
                </c:pt>
                <c:pt idx="595">
                  <c:v>0.13</c:v>
                </c:pt>
                <c:pt idx="596">
                  <c:v>0.1</c:v>
                </c:pt>
                <c:pt idx="597">
                  <c:v>0.1</c:v>
                </c:pt>
                <c:pt idx="598">
                  <c:v>0.09</c:v>
                </c:pt>
                <c:pt idx="599">
                  <c:v>0.02</c:v>
                </c:pt>
                <c:pt idx="600">
                  <c:v>0.04</c:v>
                </c:pt>
                <c:pt idx="601">
                  <c:v>-0.05</c:v>
                </c:pt>
                <c:pt idx="602">
                  <c:v>0.01</c:v>
                </c:pt>
                <c:pt idx="603">
                  <c:v>0.08</c:v>
                </c:pt>
                <c:pt idx="604">
                  <c:v>0.05</c:v>
                </c:pt>
                <c:pt idx="605">
                  <c:v>0.14000000000000001</c:v>
                </c:pt>
                <c:pt idx="606">
                  <c:v>0.14000000000000001</c:v>
                </c:pt>
                <c:pt idx="607">
                  <c:v>0</c:v>
                </c:pt>
                <c:pt idx="608">
                  <c:v>-0.08</c:v>
                </c:pt>
                <c:pt idx="609">
                  <c:v>0.04</c:v>
                </c:pt>
                <c:pt idx="610">
                  <c:v>0.15</c:v>
                </c:pt>
                <c:pt idx="611">
                  <c:v>-0.13</c:v>
                </c:pt>
                <c:pt idx="612">
                  <c:v>-7.0000000000000007E-2</c:v>
                </c:pt>
                <c:pt idx="613">
                  <c:v>0</c:v>
                </c:pt>
                <c:pt idx="614">
                  <c:v>0.02</c:v>
                </c:pt>
                <c:pt idx="615">
                  <c:v>0.08</c:v>
                </c:pt>
                <c:pt idx="616">
                  <c:v>-0.01</c:v>
                </c:pt>
                <c:pt idx="617">
                  <c:v>-0.11</c:v>
                </c:pt>
                <c:pt idx="618">
                  <c:v>-0.13</c:v>
                </c:pt>
                <c:pt idx="619">
                  <c:v>0.14000000000000001</c:v>
                </c:pt>
                <c:pt idx="620">
                  <c:v>0.16</c:v>
                </c:pt>
                <c:pt idx="621">
                  <c:v>0.16</c:v>
                </c:pt>
                <c:pt idx="622">
                  <c:v>-0.14000000000000001</c:v>
                </c:pt>
                <c:pt idx="623">
                  <c:v>0</c:v>
                </c:pt>
                <c:pt idx="624">
                  <c:v>0.09</c:v>
                </c:pt>
                <c:pt idx="625">
                  <c:v>7.0000000000000007E-2</c:v>
                </c:pt>
                <c:pt idx="626">
                  <c:v>0.09</c:v>
                </c:pt>
                <c:pt idx="627">
                  <c:v>-0.1</c:v>
                </c:pt>
                <c:pt idx="628">
                  <c:v>0.2</c:v>
                </c:pt>
                <c:pt idx="629">
                  <c:v>0.08</c:v>
                </c:pt>
                <c:pt idx="630">
                  <c:v>0.17</c:v>
                </c:pt>
                <c:pt idx="631">
                  <c:v>0.2</c:v>
                </c:pt>
                <c:pt idx="632">
                  <c:v>-0.1</c:v>
                </c:pt>
                <c:pt idx="633">
                  <c:v>0.2</c:v>
                </c:pt>
                <c:pt idx="634">
                  <c:v>0.01</c:v>
                </c:pt>
                <c:pt idx="635">
                  <c:v>0.19</c:v>
                </c:pt>
                <c:pt idx="636">
                  <c:v>-0.02</c:v>
                </c:pt>
                <c:pt idx="637">
                  <c:v>-0.15</c:v>
                </c:pt>
                <c:pt idx="638">
                  <c:v>0.18</c:v>
                </c:pt>
                <c:pt idx="639">
                  <c:v>0.1</c:v>
                </c:pt>
                <c:pt idx="640">
                  <c:v>0</c:v>
                </c:pt>
                <c:pt idx="641">
                  <c:v>-0.1</c:v>
                </c:pt>
                <c:pt idx="642">
                  <c:v>0.2</c:v>
                </c:pt>
                <c:pt idx="643">
                  <c:v>0.02</c:v>
                </c:pt>
                <c:pt idx="644">
                  <c:v>0.19</c:v>
                </c:pt>
                <c:pt idx="645">
                  <c:v>0.01</c:v>
                </c:pt>
                <c:pt idx="646">
                  <c:v>0.03</c:v>
                </c:pt>
                <c:pt idx="647">
                  <c:v>-0.04</c:v>
                </c:pt>
                <c:pt idx="648">
                  <c:v>0.01</c:v>
                </c:pt>
                <c:pt idx="649">
                  <c:v>-7.0000000000000007E-2</c:v>
                </c:pt>
                <c:pt idx="650">
                  <c:v>-0.04</c:v>
                </c:pt>
                <c:pt idx="651">
                  <c:v>0.04</c:v>
                </c:pt>
                <c:pt idx="652">
                  <c:v>0.01</c:v>
                </c:pt>
                <c:pt idx="653">
                  <c:v>-0.04</c:v>
                </c:pt>
                <c:pt idx="654">
                  <c:v>0.13</c:v>
                </c:pt>
                <c:pt idx="655">
                  <c:v>0.19</c:v>
                </c:pt>
                <c:pt idx="656">
                  <c:v>7.0000000000000007E-2</c:v>
                </c:pt>
                <c:pt idx="657">
                  <c:v>0.08</c:v>
                </c:pt>
                <c:pt idx="658">
                  <c:v>-0.02</c:v>
                </c:pt>
                <c:pt idx="659">
                  <c:v>0.15</c:v>
                </c:pt>
                <c:pt idx="660">
                  <c:v>0.06</c:v>
                </c:pt>
                <c:pt idx="661">
                  <c:v>-0.01</c:v>
                </c:pt>
                <c:pt idx="662">
                  <c:v>-0.05</c:v>
                </c:pt>
                <c:pt idx="663">
                  <c:v>-0.03</c:v>
                </c:pt>
                <c:pt idx="664">
                  <c:v>-0.01</c:v>
                </c:pt>
                <c:pt idx="665">
                  <c:v>0.05</c:v>
                </c:pt>
                <c:pt idx="666">
                  <c:v>0.01</c:v>
                </c:pt>
                <c:pt idx="667">
                  <c:v>-0.13</c:v>
                </c:pt>
                <c:pt idx="668">
                  <c:v>0.18</c:v>
                </c:pt>
                <c:pt idx="669">
                  <c:v>0.12</c:v>
                </c:pt>
                <c:pt idx="670">
                  <c:v>0.09</c:v>
                </c:pt>
                <c:pt idx="671">
                  <c:v>0.09</c:v>
                </c:pt>
                <c:pt idx="672">
                  <c:v>0.09</c:v>
                </c:pt>
                <c:pt idx="673">
                  <c:v>-0.02</c:v>
                </c:pt>
                <c:pt idx="674">
                  <c:v>-0.11</c:v>
                </c:pt>
                <c:pt idx="675">
                  <c:v>0.15</c:v>
                </c:pt>
                <c:pt idx="676">
                  <c:v>0.04</c:v>
                </c:pt>
                <c:pt idx="677">
                  <c:v>-0.02</c:v>
                </c:pt>
                <c:pt idx="678">
                  <c:v>0.04</c:v>
                </c:pt>
                <c:pt idx="679">
                  <c:v>0.08</c:v>
                </c:pt>
                <c:pt idx="680">
                  <c:v>0.01</c:v>
                </c:pt>
                <c:pt idx="681">
                  <c:v>7.0000000000000007E-2</c:v>
                </c:pt>
                <c:pt idx="682">
                  <c:v>0</c:v>
                </c:pt>
                <c:pt idx="683">
                  <c:v>0.17</c:v>
                </c:pt>
                <c:pt idx="684">
                  <c:v>0.04</c:v>
                </c:pt>
                <c:pt idx="685">
                  <c:v>-0.01</c:v>
                </c:pt>
                <c:pt idx="686">
                  <c:v>0.04</c:v>
                </c:pt>
                <c:pt idx="687">
                  <c:v>0</c:v>
                </c:pt>
                <c:pt idx="688">
                  <c:v>0.19</c:v>
                </c:pt>
                <c:pt idx="689">
                  <c:v>0.14000000000000001</c:v>
                </c:pt>
                <c:pt idx="690">
                  <c:v>0.11</c:v>
                </c:pt>
                <c:pt idx="691">
                  <c:v>-0.13</c:v>
                </c:pt>
                <c:pt idx="692">
                  <c:v>0.06</c:v>
                </c:pt>
                <c:pt idx="693">
                  <c:v>0.17</c:v>
                </c:pt>
                <c:pt idx="694">
                  <c:v>-0.01</c:v>
                </c:pt>
                <c:pt idx="695">
                  <c:v>0.2</c:v>
                </c:pt>
                <c:pt idx="696">
                  <c:v>0.12</c:v>
                </c:pt>
                <c:pt idx="697">
                  <c:v>0.03</c:v>
                </c:pt>
                <c:pt idx="698">
                  <c:v>-0.1</c:v>
                </c:pt>
                <c:pt idx="699">
                  <c:v>0.06</c:v>
                </c:pt>
                <c:pt idx="700">
                  <c:v>0.14000000000000001</c:v>
                </c:pt>
                <c:pt idx="701">
                  <c:v>-0.03</c:v>
                </c:pt>
                <c:pt idx="702">
                  <c:v>0.01</c:v>
                </c:pt>
                <c:pt idx="703">
                  <c:v>0.08</c:v>
                </c:pt>
                <c:pt idx="704">
                  <c:v>-0.06</c:v>
                </c:pt>
                <c:pt idx="705">
                  <c:v>0.14000000000000001</c:v>
                </c:pt>
                <c:pt idx="706">
                  <c:v>-0.02</c:v>
                </c:pt>
                <c:pt idx="707">
                  <c:v>0.14000000000000001</c:v>
                </c:pt>
                <c:pt idx="708">
                  <c:v>0.17</c:v>
                </c:pt>
                <c:pt idx="709">
                  <c:v>0.09</c:v>
                </c:pt>
                <c:pt idx="710">
                  <c:v>-0.06</c:v>
                </c:pt>
                <c:pt idx="711">
                  <c:v>0.14000000000000001</c:v>
                </c:pt>
                <c:pt idx="712">
                  <c:v>0.09</c:v>
                </c:pt>
                <c:pt idx="713">
                  <c:v>-0.01</c:v>
                </c:pt>
                <c:pt idx="714">
                  <c:v>-0.13</c:v>
                </c:pt>
                <c:pt idx="715">
                  <c:v>7.0000000000000007E-2</c:v>
                </c:pt>
                <c:pt idx="716">
                  <c:v>-0.04</c:v>
                </c:pt>
                <c:pt idx="717">
                  <c:v>0.2</c:v>
                </c:pt>
                <c:pt idx="718">
                  <c:v>0.08</c:v>
                </c:pt>
                <c:pt idx="719">
                  <c:v>0.03</c:v>
                </c:pt>
                <c:pt idx="720">
                  <c:v>0.05</c:v>
                </c:pt>
                <c:pt idx="721">
                  <c:v>-0.15</c:v>
                </c:pt>
                <c:pt idx="722">
                  <c:v>0.12</c:v>
                </c:pt>
                <c:pt idx="723">
                  <c:v>0.14000000000000001</c:v>
                </c:pt>
                <c:pt idx="724">
                  <c:v>0</c:v>
                </c:pt>
                <c:pt idx="725">
                  <c:v>0.09</c:v>
                </c:pt>
                <c:pt idx="726">
                  <c:v>-0.01</c:v>
                </c:pt>
                <c:pt idx="727">
                  <c:v>0.16</c:v>
                </c:pt>
                <c:pt idx="728">
                  <c:v>-0.04</c:v>
                </c:pt>
                <c:pt idx="729">
                  <c:v>0.2</c:v>
                </c:pt>
                <c:pt idx="730">
                  <c:v>-0.09</c:v>
                </c:pt>
              </c:numCache>
            </c:numRef>
          </c:val>
          <c:extLst>
            <c:ext xmlns:c16="http://schemas.microsoft.com/office/drawing/2014/chart" uri="{C3380CC4-5D6E-409C-BE32-E72D297353CC}">
              <c16:uniqueId val="{00000001-FFE3-4376-9666-A9A303D3984E}"/>
            </c:ext>
          </c:extLst>
        </c:ser>
        <c:dLbls>
          <c:showLegendKey val="0"/>
          <c:showVal val="0"/>
          <c:showCatName val="0"/>
          <c:showSerName val="0"/>
          <c:showPercent val="0"/>
          <c:showBubbleSize val="0"/>
        </c:dLbls>
        <c:gapWidth val="150"/>
        <c:overlap val="100"/>
        <c:axId val="1818874272"/>
        <c:axId val="1818860544"/>
      </c:barChart>
      <c:dateAx>
        <c:axId val="1818874272"/>
        <c:scaling>
          <c:orientation val="minMax"/>
        </c:scaling>
        <c:delete val="0"/>
        <c:axPos val="l"/>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860544"/>
        <c:crosses val="autoZero"/>
        <c:auto val="1"/>
        <c:lblOffset val="100"/>
        <c:baseTimeUnit val="days"/>
      </c:dateAx>
      <c:valAx>
        <c:axId val="1818860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874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Stock Returns Comparison </a:t>
            </a:r>
            <a:br>
              <a:rPr lang="en-US"/>
            </a:br>
            <a:r>
              <a:rPr lang="en-US"/>
              <a:t>Stock 1 vs Stock 2</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bar"/>
        <c:grouping val="percentStacked"/>
        <c:varyColors val="0"/>
        <c:ser>
          <c:idx val="0"/>
          <c:order val="0"/>
          <c:tx>
            <c:strRef>
              <c:f>'Types of Charts'!$L$53</c:f>
              <c:strCache>
                <c:ptCount val="1"/>
                <c:pt idx="0">
                  <c:v>Stock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'Types of Charts'!$K$54:$K$77</c:f>
              <c:strCache>
                <c:ptCount val="24"/>
                <c:pt idx="0">
                  <c:v>Month 1 - 2016</c:v>
                </c:pt>
                <c:pt idx="1">
                  <c:v>Month 2 - 2016</c:v>
                </c:pt>
                <c:pt idx="2">
                  <c:v>Month 3 - 2016</c:v>
                </c:pt>
                <c:pt idx="3">
                  <c:v>Month 4 - 2016</c:v>
                </c:pt>
                <c:pt idx="4">
                  <c:v>Month 5 - 2016</c:v>
                </c:pt>
                <c:pt idx="5">
                  <c:v>Month 6 - 2016</c:v>
                </c:pt>
                <c:pt idx="6">
                  <c:v>Month 7 - 2016</c:v>
                </c:pt>
                <c:pt idx="7">
                  <c:v>Month 8 - 2016</c:v>
                </c:pt>
                <c:pt idx="8">
                  <c:v>Month 9 - 2016</c:v>
                </c:pt>
                <c:pt idx="9">
                  <c:v>Month 10 - 2016</c:v>
                </c:pt>
                <c:pt idx="10">
                  <c:v>Month 11 - 2016</c:v>
                </c:pt>
                <c:pt idx="11">
                  <c:v>Month 12 - 2016</c:v>
                </c:pt>
                <c:pt idx="12">
                  <c:v>Month 1 - 2017</c:v>
                </c:pt>
                <c:pt idx="13">
                  <c:v>Month 2 - 2017</c:v>
                </c:pt>
                <c:pt idx="14">
                  <c:v>Month 3 - 2017</c:v>
                </c:pt>
                <c:pt idx="15">
                  <c:v>Month 4 - 2017</c:v>
                </c:pt>
                <c:pt idx="16">
                  <c:v>Month 5 - 2017</c:v>
                </c:pt>
                <c:pt idx="17">
                  <c:v>Month 6 - 2017</c:v>
                </c:pt>
                <c:pt idx="18">
                  <c:v>Month 7 - 2017</c:v>
                </c:pt>
                <c:pt idx="19">
                  <c:v>Month 8 - 2017</c:v>
                </c:pt>
                <c:pt idx="20">
                  <c:v>Month 9 - 2017</c:v>
                </c:pt>
                <c:pt idx="21">
                  <c:v>Month 10 - 2017</c:v>
                </c:pt>
                <c:pt idx="22">
                  <c:v>Month 11 - 2017</c:v>
                </c:pt>
                <c:pt idx="23">
                  <c:v>Month 12 - 2017</c:v>
                </c:pt>
              </c:strCache>
            </c:strRef>
          </c:cat>
          <c:val>
            <c:numRef>
              <c:f>'Types of Charts'!$L$54:$L$77</c:f>
              <c:numCache>
                <c:formatCode>General</c:formatCode>
                <c:ptCount val="24"/>
                <c:pt idx="0">
                  <c:v>0.09</c:v>
                </c:pt>
                <c:pt idx="1">
                  <c:v>0.06</c:v>
                </c:pt>
                <c:pt idx="2">
                  <c:v>0.03</c:v>
                </c:pt>
                <c:pt idx="3">
                  <c:v>-0.01</c:v>
                </c:pt>
                <c:pt idx="4">
                  <c:v>0.05</c:v>
                </c:pt>
                <c:pt idx="5">
                  <c:v>0.11</c:v>
                </c:pt>
                <c:pt idx="6">
                  <c:v>-0.01</c:v>
                </c:pt>
                <c:pt idx="7">
                  <c:v>0.09</c:v>
                </c:pt>
                <c:pt idx="8">
                  <c:v>-0.01</c:v>
                </c:pt>
                <c:pt idx="9">
                  <c:v>0.04</c:v>
                </c:pt>
                <c:pt idx="10">
                  <c:v>0.12</c:v>
                </c:pt>
                <c:pt idx="11">
                  <c:v>0.01</c:v>
                </c:pt>
                <c:pt idx="12">
                  <c:v>0.1</c:v>
                </c:pt>
                <c:pt idx="13">
                  <c:v>0.01</c:v>
                </c:pt>
                <c:pt idx="14">
                  <c:v>0.01</c:v>
                </c:pt>
                <c:pt idx="15">
                  <c:v>7.0000000000000007E-2</c:v>
                </c:pt>
                <c:pt idx="16">
                  <c:v>-0.01</c:v>
                </c:pt>
                <c:pt idx="17">
                  <c:v>0.09</c:v>
                </c:pt>
                <c:pt idx="18">
                  <c:v>0</c:v>
                </c:pt>
                <c:pt idx="19">
                  <c:v>0.11</c:v>
                </c:pt>
                <c:pt idx="20">
                  <c:v>7.0000000000000007E-2</c:v>
                </c:pt>
                <c:pt idx="21">
                  <c:v>0.04</c:v>
                </c:pt>
                <c:pt idx="22">
                  <c:v>-0.01</c:v>
                </c:pt>
                <c:pt idx="23">
                  <c:v>0.11</c:v>
                </c:pt>
              </c:numCache>
            </c:numRef>
          </c:val>
          <c:extLst>
            <c:ext xmlns:c16="http://schemas.microsoft.com/office/drawing/2014/chart" uri="{C3380CC4-5D6E-409C-BE32-E72D297353CC}">
              <c16:uniqueId val="{00000000-32AE-4245-A81B-F70D989606F0}"/>
            </c:ext>
          </c:extLst>
        </c:ser>
        <c:ser>
          <c:idx val="1"/>
          <c:order val="1"/>
          <c:tx>
            <c:strRef>
              <c:f>'Types of Charts'!$M$53</c:f>
              <c:strCache>
                <c:ptCount val="1"/>
                <c:pt idx="0">
                  <c:v>Stock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'Types of Charts'!$K$54:$K$77</c:f>
              <c:strCache>
                <c:ptCount val="24"/>
                <c:pt idx="0">
                  <c:v>Month 1 - 2016</c:v>
                </c:pt>
                <c:pt idx="1">
                  <c:v>Month 2 - 2016</c:v>
                </c:pt>
                <c:pt idx="2">
                  <c:v>Month 3 - 2016</c:v>
                </c:pt>
                <c:pt idx="3">
                  <c:v>Month 4 - 2016</c:v>
                </c:pt>
                <c:pt idx="4">
                  <c:v>Month 5 - 2016</c:v>
                </c:pt>
                <c:pt idx="5">
                  <c:v>Month 6 - 2016</c:v>
                </c:pt>
                <c:pt idx="6">
                  <c:v>Month 7 - 2016</c:v>
                </c:pt>
                <c:pt idx="7">
                  <c:v>Month 8 - 2016</c:v>
                </c:pt>
                <c:pt idx="8">
                  <c:v>Month 9 - 2016</c:v>
                </c:pt>
                <c:pt idx="9">
                  <c:v>Month 10 - 2016</c:v>
                </c:pt>
                <c:pt idx="10">
                  <c:v>Month 11 - 2016</c:v>
                </c:pt>
                <c:pt idx="11">
                  <c:v>Month 12 - 2016</c:v>
                </c:pt>
                <c:pt idx="12">
                  <c:v>Month 1 - 2017</c:v>
                </c:pt>
                <c:pt idx="13">
                  <c:v>Month 2 - 2017</c:v>
                </c:pt>
                <c:pt idx="14">
                  <c:v>Month 3 - 2017</c:v>
                </c:pt>
                <c:pt idx="15">
                  <c:v>Month 4 - 2017</c:v>
                </c:pt>
                <c:pt idx="16">
                  <c:v>Month 5 - 2017</c:v>
                </c:pt>
                <c:pt idx="17">
                  <c:v>Month 6 - 2017</c:v>
                </c:pt>
                <c:pt idx="18">
                  <c:v>Month 7 - 2017</c:v>
                </c:pt>
                <c:pt idx="19">
                  <c:v>Month 8 - 2017</c:v>
                </c:pt>
                <c:pt idx="20">
                  <c:v>Month 9 - 2017</c:v>
                </c:pt>
                <c:pt idx="21">
                  <c:v>Month 10 - 2017</c:v>
                </c:pt>
                <c:pt idx="22">
                  <c:v>Month 11 - 2017</c:v>
                </c:pt>
                <c:pt idx="23">
                  <c:v>Month 12 - 2017</c:v>
                </c:pt>
              </c:strCache>
            </c:strRef>
          </c:cat>
          <c:val>
            <c:numRef>
              <c:f>'Types of Charts'!$M$54:$M$77</c:f>
              <c:numCache>
                <c:formatCode>General</c:formatCode>
                <c:ptCount val="24"/>
                <c:pt idx="0">
                  <c:v>-0.01</c:v>
                </c:pt>
                <c:pt idx="1">
                  <c:v>0.09</c:v>
                </c:pt>
                <c:pt idx="2">
                  <c:v>-0.01</c:v>
                </c:pt>
                <c:pt idx="3">
                  <c:v>0.1</c:v>
                </c:pt>
                <c:pt idx="4">
                  <c:v>0.1</c:v>
                </c:pt>
                <c:pt idx="5">
                  <c:v>0.09</c:v>
                </c:pt>
                <c:pt idx="6">
                  <c:v>-0.01</c:v>
                </c:pt>
                <c:pt idx="7">
                  <c:v>-0.02</c:v>
                </c:pt>
                <c:pt idx="8">
                  <c:v>0.09</c:v>
                </c:pt>
                <c:pt idx="9">
                  <c:v>0.04</c:v>
                </c:pt>
                <c:pt idx="10">
                  <c:v>0.1</c:v>
                </c:pt>
                <c:pt idx="11">
                  <c:v>0</c:v>
                </c:pt>
                <c:pt idx="12">
                  <c:v>0.06</c:v>
                </c:pt>
                <c:pt idx="13">
                  <c:v>0.05</c:v>
                </c:pt>
                <c:pt idx="14">
                  <c:v>0.1</c:v>
                </c:pt>
                <c:pt idx="15">
                  <c:v>0.12</c:v>
                </c:pt>
                <c:pt idx="16">
                  <c:v>0.04</c:v>
                </c:pt>
                <c:pt idx="17">
                  <c:v>-0.01</c:v>
                </c:pt>
                <c:pt idx="18">
                  <c:v>0.12</c:v>
                </c:pt>
                <c:pt idx="19">
                  <c:v>7.0000000000000007E-2</c:v>
                </c:pt>
                <c:pt idx="20">
                  <c:v>0.06</c:v>
                </c:pt>
                <c:pt idx="21">
                  <c:v>0.11</c:v>
                </c:pt>
                <c:pt idx="22">
                  <c:v>7.0000000000000007E-2</c:v>
                </c:pt>
                <c:pt idx="23">
                  <c:v>0.04</c:v>
                </c:pt>
              </c:numCache>
            </c:numRef>
          </c:val>
          <c:extLst>
            <c:ext xmlns:c16="http://schemas.microsoft.com/office/drawing/2014/chart" uri="{C3380CC4-5D6E-409C-BE32-E72D297353CC}">
              <c16:uniqueId val="{00000001-32AE-4245-A81B-F70D989606F0}"/>
            </c:ext>
          </c:extLst>
        </c:ser>
        <c:dLbls>
          <c:showLegendKey val="0"/>
          <c:showVal val="0"/>
          <c:showCatName val="0"/>
          <c:showSerName val="0"/>
          <c:showPercent val="0"/>
          <c:showBubbleSize val="0"/>
        </c:dLbls>
        <c:gapWidth val="150"/>
        <c:overlap val="100"/>
        <c:axId val="1736955104"/>
        <c:axId val="1736952608"/>
      </c:barChart>
      <c:catAx>
        <c:axId val="17369551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6952608"/>
        <c:crosses val="autoZero"/>
        <c:auto val="1"/>
        <c:lblAlgn val="ctr"/>
        <c:lblOffset val="100"/>
        <c:noMultiLvlLbl val="0"/>
      </c:catAx>
      <c:valAx>
        <c:axId val="1736952608"/>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6955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t>
            </a:r>
            <a:r>
              <a:rPr lang="en-IN" baseline="0"/>
              <a:t> wise </a:t>
            </a:r>
            <a:r>
              <a:rPr lang="en-IN"/>
              <a:t>Column</a:t>
            </a:r>
            <a:r>
              <a:rPr lang="en-IN" baseline="0"/>
              <a:t> Chart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'Types of Charts'!$F$790</c:f>
              <c:strCache>
                <c:ptCount val="1"/>
                <c:pt idx="0">
                  <c:v>US</c:v>
                </c:pt>
              </c:strCache>
            </c:strRef>
          </c:tx>
          <c:spPr>
            <a:solidFill>
              <a:schemeClr val="accent1"/>
            </a:solidFill>
            <a:ln>
              <a:noFill/>
            </a:ln>
            <a:effectLst/>
          </c:spPr>
          <c:invertIfNegative val="0"/>
          <c:cat>
            <c:strRef>
              <c:f>'Types of Charts'!$G$789:$K$789</c:f>
              <c:strCache>
                <c:ptCount val="5"/>
                <c:pt idx="0">
                  <c:v>Jan</c:v>
                </c:pt>
                <c:pt idx="1">
                  <c:v>Feb</c:v>
                </c:pt>
                <c:pt idx="2">
                  <c:v>Mar</c:v>
                </c:pt>
                <c:pt idx="3">
                  <c:v>Apr</c:v>
                </c:pt>
                <c:pt idx="4">
                  <c:v>May</c:v>
                </c:pt>
              </c:strCache>
            </c:strRef>
          </c:cat>
          <c:val>
            <c:numRef>
              <c:f>'Types of Charts'!$G$790:$K$790</c:f>
              <c:numCache>
                <c:formatCode>_ * #,##0_ ;_ * \-#,##0_ ;_ * "-"??_ ;_ @_ </c:formatCode>
                <c:ptCount val="5"/>
                <c:pt idx="0">
                  <c:v>20000</c:v>
                </c:pt>
                <c:pt idx="1">
                  <c:v>22000</c:v>
                </c:pt>
                <c:pt idx="2">
                  <c:v>19000</c:v>
                </c:pt>
                <c:pt idx="3">
                  <c:v>23000</c:v>
                </c:pt>
                <c:pt idx="4">
                  <c:v>24000</c:v>
                </c:pt>
              </c:numCache>
            </c:numRef>
          </c:val>
          <c:extLst>
            <c:ext xmlns:c16="http://schemas.microsoft.com/office/drawing/2014/chart" uri="{C3380CC4-5D6E-409C-BE32-E72D297353CC}">
              <c16:uniqueId val="{00000000-20AA-4EDC-9345-09DBE2094863}"/>
            </c:ext>
          </c:extLst>
        </c:ser>
        <c:ser>
          <c:idx val="1"/>
          <c:order val="1"/>
          <c:tx>
            <c:strRef>
              <c:f>'Types of Charts'!$F$791</c:f>
              <c:strCache>
                <c:ptCount val="1"/>
                <c:pt idx="0">
                  <c:v>Europe</c:v>
                </c:pt>
              </c:strCache>
            </c:strRef>
          </c:tx>
          <c:spPr>
            <a:solidFill>
              <a:schemeClr val="accent2"/>
            </a:solidFill>
            <a:ln>
              <a:noFill/>
            </a:ln>
            <a:effectLst/>
          </c:spPr>
          <c:invertIfNegative val="0"/>
          <c:cat>
            <c:strRef>
              <c:f>'Types of Charts'!$G$789:$K$789</c:f>
              <c:strCache>
                <c:ptCount val="5"/>
                <c:pt idx="0">
                  <c:v>Jan</c:v>
                </c:pt>
                <c:pt idx="1">
                  <c:v>Feb</c:v>
                </c:pt>
                <c:pt idx="2">
                  <c:v>Mar</c:v>
                </c:pt>
                <c:pt idx="3">
                  <c:v>Apr</c:v>
                </c:pt>
                <c:pt idx="4">
                  <c:v>May</c:v>
                </c:pt>
              </c:strCache>
            </c:strRef>
          </c:cat>
          <c:val>
            <c:numRef>
              <c:f>'Types of Charts'!$G$791:$K$791</c:f>
              <c:numCache>
                <c:formatCode>_ * #,##0_ ;_ * \-#,##0_ ;_ * "-"??_ ;_ @_ </c:formatCode>
                <c:ptCount val="5"/>
                <c:pt idx="0">
                  <c:v>14500</c:v>
                </c:pt>
                <c:pt idx="1">
                  <c:v>14600</c:v>
                </c:pt>
                <c:pt idx="2">
                  <c:v>14500</c:v>
                </c:pt>
                <c:pt idx="3">
                  <c:v>14450</c:v>
                </c:pt>
                <c:pt idx="4">
                  <c:v>16000</c:v>
                </c:pt>
              </c:numCache>
            </c:numRef>
          </c:val>
          <c:extLst>
            <c:ext xmlns:c16="http://schemas.microsoft.com/office/drawing/2014/chart" uri="{C3380CC4-5D6E-409C-BE32-E72D297353CC}">
              <c16:uniqueId val="{00000001-20AA-4EDC-9345-09DBE2094863}"/>
            </c:ext>
          </c:extLst>
        </c:ser>
        <c:ser>
          <c:idx val="2"/>
          <c:order val="2"/>
          <c:tx>
            <c:strRef>
              <c:f>'Types of Charts'!$F$792</c:f>
              <c:strCache>
                <c:ptCount val="1"/>
                <c:pt idx="0">
                  <c:v>Asia</c:v>
                </c:pt>
              </c:strCache>
            </c:strRef>
          </c:tx>
          <c:spPr>
            <a:solidFill>
              <a:schemeClr val="accent3"/>
            </a:solidFill>
            <a:ln>
              <a:noFill/>
            </a:ln>
            <a:effectLst/>
          </c:spPr>
          <c:invertIfNegative val="0"/>
          <c:cat>
            <c:strRef>
              <c:f>'Types of Charts'!$G$789:$K$789</c:f>
              <c:strCache>
                <c:ptCount val="5"/>
                <c:pt idx="0">
                  <c:v>Jan</c:v>
                </c:pt>
                <c:pt idx="1">
                  <c:v>Feb</c:v>
                </c:pt>
                <c:pt idx="2">
                  <c:v>Mar</c:v>
                </c:pt>
                <c:pt idx="3">
                  <c:v>Apr</c:v>
                </c:pt>
                <c:pt idx="4">
                  <c:v>May</c:v>
                </c:pt>
              </c:strCache>
            </c:strRef>
          </c:cat>
          <c:val>
            <c:numRef>
              <c:f>'Types of Charts'!$G$792:$K$792</c:f>
              <c:numCache>
                <c:formatCode>_ * #,##0_ ;_ * \-#,##0_ ;_ * "-"??_ ;_ @_ </c:formatCode>
                <c:ptCount val="5"/>
                <c:pt idx="0">
                  <c:v>26000</c:v>
                </c:pt>
                <c:pt idx="1">
                  <c:v>17000</c:v>
                </c:pt>
                <c:pt idx="2">
                  <c:v>18000</c:v>
                </c:pt>
                <c:pt idx="3">
                  <c:v>28000</c:v>
                </c:pt>
                <c:pt idx="4">
                  <c:v>30000</c:v>
                </c:pt>
              </c:numCache>
            </c:numRef>
          </c:val>
          <c:extLst>
            <c:ext xmlns:c16="http://schemas.microsoft.com/office/drawing/2014/chart" uri="{C3380CC4-5D6E-409C-BE32-E72D297353CC}">
              <c16:uniqueId val="{00000002-20AA-4EDC-9345-09DBE2094863}"/>
            </c:ext>
          </c:extLst>
        </c:ser>
        <c:ser>
          <c:idx val="3"/>
          <c:order val="3"/>
          <c:tx>
            <c:strRef>
              <c:f>'Types of Charts'!$F$793</c:f>
              <c:strCache>
                <c:ptCount val="1"/>
                <c:pt idx="0">
                  <c:v>South America</c:v>
                </c:pt>
              </c:strCache>
            </c:strRef>
          </c:tx>
          <c:spPr>
            <a:solidFill>
              <a:schemeClr val="accent4"/>
            </a:solidFill>
            <a:ln>
              <a:noFill/>
            </a:ln>
            <a:effectLst/>
          </c:spPr>
          <c:invertIfNegative val="0"/>
          <c:cat>
            <c:strRef>
              <c:f>'Types of Charts'!$G$789:$K$789</c:f>
              <c:strCache>
                <c:ptCount val="5"/>
                <c:pt idx="0">
                  <c:v>Jan</c:v>
                </c:pt>
                <c:pt idx="1">
                  <c:v>Feb</c:v>
                </c:pt>
                <c:pt idx="2">
                  <c:v>Mar</c:v>
                </c:pt>
                <c:pt idx="3">
                  <c:v>Apr</c:v>
                </c:pt>
                <c:pt idx="4">
                  <c:v>May</c:v>
                </c:pt>
              </c:strCache>
            </c:strRef>
          </c:cat>
          <c:val>
            <c:numRef>
              <c:f>'Types of Charts'!$G$793:$K$793</c:f>
              <c:numCache>
                <c:formatCode>_ * #,##0_ ;_ * \-#,##0_ ;_ * "-"??_ ;_ @_ </c:formatCode>
                <c:ptCount val="5"/>
                <c:pt idx="0">
                  <c:v>5000</c:v>
                </c:pt>
                <c:pt idx="1">
                  <c:v>3000</c:v>
                </c:pt>
                <c:pt idx="2">
                  <c:v>3500</c:v>
                </c:pt>
                <c:pt idx="3">
                  <c:v>6000</c:v>
                </c:pt>
                <c:pt idx="4">
                  <c:v>2000</c:v>
                </c:pt>
              </c:numCache>
            </c:numRef>
          </c:val>
          <c:extLst>
            <c:ext xmlns:c16="http://schemas.microsoft.com/office/drawing/2014/chart" uri="{C3380CC4-5D6E-409C-BE32-E72D297353CC}">
              <c16:uniqueId val="{00000003-20AA-4EDC-9345-09DBE2094863}"/>
            </c:ext>
          </c:extLst>
        </c:ser>
        <c:dLbls>
          <c:showLegendKey val="0"/>
          <c:showVal val="0"/>
          <c:showCatName val="0"/>
          <c:showSerName val="0"/>
          <c:showPercent val="0"/>
          <c:showBubbleSize val="0"/>
        </c:dLbls>
        <c:gapWidth val="219"/>
        <c:overlap val="-27"/>
        <c:axId val="422514944"/>
        <c:axId val="422510784"/>
      </c:barChart>
      <c:catAx>
        <c:axId val="42251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510784"/>
        <c:crosses val="autoZero"/>
        <c:auto val="1"/>
        <c:lblAlgn val="ctr"/>
        <c:lblOffset val="100"/>
        <c:noMultiLvlLbl val="0"/>
      </c:catAx>
      <c:valAx>
        <c:axId val="422510784"/>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514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Month wise </a:t>
            </a:r>
            <a:r>
              <a:rPr lang="en-IN"/>
              <a:t>Stacked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'Types of Charts'!$F$790</c:f>
              <c:strCache>
                <c:ptCount val="1"/>
                <c:pt idx="0">
                  <c:v>US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'Types of Charts'!$G$789:$K$789</c:f>
              <c:strCache>
                <c:ptCount val="5"/>
                <c:pt idx="0">
                  <c:v>Jan</c:v>
                </c:pt>
                <c:pt idx="1">
                  <c:v>Feb</c:v>
                </c:pt>
                <c:pt idx="2">
                  <c:v>Mar</c:v>
                </c:pt>
                <c:pt idx="3">
                  <c:v>Apr</c:v>
                </c:pt>
                <c:pt idx="4">
                  <c:v>May</c:v>
                </c:pt>
              </c:strCache>
            </c:strRef>
          </c:cat>
          <c:val>
            <c:numRef>
              <c:f>'Types of Charts'!$G$790:$K$790</c:f>
              <c:numCache>
                <c:formatCode>_ * #,##0_ ;_ * \-#,##0_ ;_ * "-"??_ ;_ @_ </c:formatCode>
                <c:ptCount val="5"/>
                <c:pt idx="0">
                  <c:v>20000</c:v>
                </c:pt>
                <c:pt idx="1">
                  <c:v>22000</c:v>
                </c:pt>
                <c:pt idx="2">
                  <c:v>19000</c:v>
                </c:pt>
                <c:pt idx="3">
                  <c:v>23000</c:v>
                </c:pt>
                <c:pt idx="4">
                  <c:v>24000</c:v>
                </c:pt>
              </c:numCache>
            </c:numRef>
          </c:val>
          <c:extLst>
            <c:ext xmlns:c16="http://schemas.microsoft.com/office/drawing/2014/chart" uri="{C3380CC4-5D6E-409C-BE32-E72D297353CC}">
              <c16:uniqueId val="{00000000-2509-41D7-AB0C-780D843CCC41}"/>
            </c:ext>
          </c:extLst>
        </c:ser>
        <c:ser>
          <c:idx val="1"/>
          <c:order val="1"/>
          <c:tx>
            <c:strRef>
              <c:f>'Types of Charts'!$F$791</c:f>
              <c:strCache>
                <c:ptCount val="1"/>
                <c:pt idx="0">
                  <c:v>Europe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'Types of Charts'!$G$789:$K$789</c:f>
              <c:strCache>
                <c:ptCount val="5"/>
                <c:pt idx="0">
                  <c:v>Jan</c:v>
                </c:pt>
                <c:pt idx="1">
                  <c:v>Feb</c:v>
                </c:pt>
                <c:pt idx="2">
                  <c:v>Mar</c:v>
                </c:pt>
                <c:pt idx="3">
                  <c:v>Apr</c:v>
                </c:pt>
                <c:pt idx="4">
                  <c:v>May</c:v>
                </c:pt>
              </c:strCache>
            </c:strRef>
          </c:cat>
          <c:val>
            <c:numRef>
              <c:f>'Types of Charts'!$G$791:$K$791</c:f>
              <c:numCache>
                <c:formatCode>_ * #,##0_ ;_ * \-#,##0_ ;_ * "-"??_ ;_ @_ </c:formatCode>
                <c:ptCount val="5"/>
                <c:pt idx="0">
                  <c:v>14500</c:v>
                </c:pt>
                <c:pt idx="1">
                  <c:v>14600</c:v>
                </c:pt>
                <c:pt idx="2">
                  <c:v>14500</c:v>
                </c:pt>
                <c:pt idx="3">
                  <c:v>14450</c:v>
                </c:pt>
                <c:pt idx="4">
                  <c:v>16000</c:v>
                </c:pt>
              </c:numCache>
            </c:numRef>
          </c:val>
          <c:extLst>
            <c:ext xmlns:c16="http://schemas.microsoft.com/office/drawing/2014/chart" uri="{C3380CC4-5D6E-409C-BE32-E72D297353CC}">
              <c16:uniqueId val="{00000001-2509-41D7-AB0C-780D843CCC41}"/>
            </c:ext>
          </c:extLst>
        </c:ser>
        <c:ser>
          <c:idx val="2"/>
          <c:order val="2"/>
          <c:tx>
            <c:strRef>
              <c:f>'Types of Charts'!$F$792</c:f>
              <c:strCache>
                <c:ptCount val="1"/>
                <c:pt idx="0">
                  <c:v>Asia</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'Types of Charts'!$G$789:$K$789</c:f>
              <c:strCache>
                <c:ptCount val="5"/>
                <c:pt idx="0">
                  <c:v>Jan</c:v>
                </c:pt>
                <c:pt idx="1">
                  <c:v>Feb</c:v>
                </c:pt>
                <c:pt idx="2">
                  <c:v>Mar</c:v>
                </c:pt>
                <c:pt idx="3">
                  <c:v>Apr</c:v>
                </c:pt>
                <c:pt idx="4">
                  <c:v>May</c:v>
                </c:pt>
              </c:strCache>
            </c:strRef>
          </c:cat>
          <c:val>
            <c:numRef>
              <c:f>'Types of Charts'!$G$792:$K$792</c:f>
              <c:numCache>
                <c:formatCode>_ * #,##0_ ;_ * \-#,##0_ ;_ * "-"??_ ;_ @_ </c:formatCode>
                <c:ptCount val="5"/>
                <c:pt idx="0">
                  <c:v>26000</c:v>
                </c:pt>
                <c:pt idx="1">
                  <c:v>17000</c:v>
                </c:pt>
                <c:pt idx="2">
                  <c:v>18000</c:v>
                </c:pt>
                <c:pt idx="3">
                  <c:v>28000</c:v>
                </c:pt>
                <c:pt idx="4">
                  <c:v>30000</c:v>
                </c:pt>
              </c:numCache>
            </c:numRef>
          </c:val>
          <c:extLst>
            <c:ext xmlns:c16="http://schemas.microsoft.com/office/drawing/2014/chart" uri="{C3380CC4-5D6E-409C-BE32-E72D297353CC}">
              <c16:uniqueId val="{00000002-2509-41D7-AB0C-780D843CCC41}"/>
            </c:ext>
          </c:extLst>
        </c:ser>
        <c:ser>
          <c:idx val="3"/>
          <c:order val="3"/>
          <c:tx>
            <c:strRef>
              <c:f>'Types of Charts'!$F$793</c:f>
              <c:strCache>
                <c:ptCount val="1"/>
                <c:pt idx="0">
                  <c:v>South America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'Types of Charts'!$G$789:$K$789</c:f>
              <c:strCache>
                <c:ptCount val="5"/>
                <c:pt idx="0">
                  <c:v>Jan</c:v>
                </c:pt>
                <c:pt idx="1">
                  <c:v>Feb</c:v>
                </c:pt>
                <c:pt idx="2">
                  <c:v>Mar</c:v>
                </c:pt>
                <c:pt idx="3">
                  <c:v>Apr</c:v>
                </c:pt>
                <c:pt idx="4">
                  <c:v>May</c:v>
                </c:pt>
              </c:strCache>
            </c:strRef>
          </c:cat>
          <c:val>
            <c:numRef>
              <c:f>'Types of Charts'!$G$793:$K$793</c:f>
              <c:numCache>
                <c:formatCode>_ * #,##0_ ;_ * \-#,##0_ ;_ * "-"??_ ;_ @_ </c:formatCode>
                <c:ptCount val="5"/>
                <c:pt idx="0">
                  <c:v>5000</c:v>
                </c:pt>
                <c:pt idx="1">
                  <c:v>3000</c:v>
                </c:pt>
                <c:pt idx="2">
                  <c:v>3500</c:v>
                </c:pt>
                <c:pt idx="3">
                  <c:v>6000</c:v>
                </c:pt>
                <c:pt idx="4">
                  <c:v>2000</c:v>
                </c:pt>
              </c:numCache>
            </c:numRef>
          </c:val>
          <c:extLst>
            <c:ext xmlns:c16="http://schemas.microsoft.com/office/drawing/2014/chart" uri="{C3380CC4-5D6E-409C-BE32-E72D297353CC}">
              <c16:uniqueId val="{00000003-2509-41D7-AB0C-780D843CCC41}"/>
            </c:ext>
          </c:extLst>
        </c:ser>
        <c:dLbls>
          <c:dLblPos val="ctr"/>
          <c:showLegendKey val="0"/>
          <c:showVal val="1"/>
          <c:showCatName val="0"/>
          <c:showSerName val="0"/>
          <c:showPercent val="0"/>
          <c:showBubbleSize val="0"/>
        </c:dLbls>
        <c:gapWidth val="150"/>
        <c:overlap val="100"/>
        <c:axId val="1837480256"/>
        <c:axId val="1837495232"/>
      </c:barChart>
      <c:catAx>
        <c:axId val="183748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495232"/>
        <c:crosses val="autoZero"/>
        <c:auto val="1"/>
        <c:lblAlgn val="ctr"/>
        <c:lblOffset val="100"/>
        <c:noMultiLvlLbl val="0"/>
      </c:catAx>
      <c:valAx>
        <c:axId val="1837495232"/>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480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Month wise  </a:t>
            </a:r>
            <a:r>
              <a:rPr lang="en-IN"/>
              <a:t>100% Stacked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'Types of Charts'!$G$789</c:f>
              <c:strCache>
                <c:ptCount val="1"/>
                <c:pt idx="0">
                  <c:v>Jan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'Types of Charts'!$F$790:$F$793</c:f>
              <c:strCache>
                <c:ptCount val="4"/>
                <c:pt idx="0">
                  <c:v>US</c:v>
                </c:pt>
                <c:pt idx="1">
                  <c:v>Europe</c:v>
                </c:pt>
                <c:pt idx="2">
                  <c:v>Asia</c:v>
                </c:pt>
                <c:pt idx="3">
                  <c:v>South America</c:v>
                </c:pt>
              </c:strCache>
            </c:strRef>
          </c:cat>
          <c:val>
            <c:numRef>
              <c:f>'Types of Charts'!$G$790:$G$793</c:f>
              <c:numCache>
                <c:formatCode>_ * #,##0_ ;_ * \-#,##0_ ;_ * "-"??_ ;_ @_ </c:formatCode>
                <c:ptCount val="4"/>
                <c:pt idx="0">
                  <c:v>20000</c:v>
                </c:pt>
                <c:pt idx="1">
                  <c:v>14500</c:v>
                </c:pt>
                <c:pt idx="2">
                  <c:v>26000</c:v>
                </c:pt>
                <c:pt idx="3">
                  <c:v>5000</c:v>
                </c:pt>
              </c:numCache>
            </c:numRef>
          </c:val>
          <c:extLst>
            <c:ext xmlns:c16="http://schemas.microsoft.com/office/drawing/2014/chart" uri="{C3380CC4-5D6E-409C-BE32-E72D297353CC}">
              <c16:uniqueId val="{00000000-98BF-4A07-BE11-EC453187ACBC}"/>
            </c:ext>
          </c:extLst>
        </c:ser>
        <c:ser>
          <c:idx val="1"/>
          <c:order val="1"/>
          <c:tx>
            <c:strRef>
              <c:f>'Types of Charts'!$H$789</c:f>
              <c:strCache>
                <c:ptCount val="1"/>
                <c:pt idx="0">
                  <c:v>Feb</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'Types of Charts'!$F$790:$F$793</c:f>
              <c:strCache>
                <c:ptCount val="4"/>
                <c:pt idx="0">
                  <c:v>US</c:v>
                </c:pt>
                <c:pt idx="1">
                  <c:v>Europe</c:v>
                </c:pt>
                <c:pt idx="2">
                  <c:v>Asia</c:v>
                </c:pt>
                <c:pt idx="3">
                  <c:v>South America</c:v>
                </c:pt>
              </c:strCache>
            </c:strRef>
          </c:cat>
          <c:val>
            <c:numRef>
              <c:f>'Types of Charts'!$H$790:$H$793</c:f>
              <c:numCache>
                <c:formatCode>_ * #,##0_ ;_ * \-#,##0_ ;_ * "-"??_ ;_ @_ </c:formatCode>
                <c:ptCount val="4"/>
                <c:pt idx="0">
                  <c:v>22000</c:v>
                </c:pt>
                <c:pt idx="1">
                  <c:v>14600</c:v>
                </c:pt>
                <c:pt idx="2">
                  <c:v>17000</c:v>
                </c:pt>
                <c:pt idx="3">
                  <c:v>3000</c:v>
                </c:pt>
              </c:numCache>
            </c:numRef>
          </c:val>
          <c:extLst>
            <c:ext xmlns:c16="http://schemas.microsoft.com/office/drawing/2014/chart" uri="{C3380CC4-5D6E-409C-BE32-E72D297353CC}">
              <c16:uniqueId val="{00000001-98BF-4A07-BE11-EC453187ACBC}"/>
            </c:ext>
          </c:extLst>
        </c:ser>
        <c:ser>
          <c:idx val="2"/>
          <c:order val="2"/>
          <c:tx>
            <c:strRef>
              <c:f>'Types of Charts'!$I$789</c:f>
              <c:strCache>
                <c:ptCount val="1"/>
                <c:pt idx="0">
                  <c:v>Mar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'Types of Charts'!$F$790:$F$793</c:f>
              <c:strCache>
                <c:ptCount val="4"/>
                <c:pt idx="0">
                  <c:v>US</c:v>
                </c:pt>
                <c:pt idx="1">
                  <c:v>Europe</c:v>
                </c:pt>
                <c:pt idx="2">
                  <c:v>Asia</c:v>
                </c:pt>
                <c:pt idx="3">
                  <c:v>South America</c:v>
                </c:pt>
              </c:strCache>
            </c:strRef>
          </c:cat>
          <c:val>
            <c:numRef>
              <c:f>'Types of Charts'!$I$790:$I$793</c:f>
              <c:numCache>
                <c:formatCode>_ * #,##0_ ;_ * \-#,##0_ ;_ * "-"??_ ;_ @_ </c:formatCode>
                <c:ptCount val="4"/>
                <c:pt idx="0">
                  <c:v>19000</c:v>
                </c:pt>
                <c:pt idx="1">
                  <c:v>14500</c:v>
                </c:pt>
                <c:pt idx="2">
                  <c:v>18000</c:v>
                </c:pt>
                <c:pt idx="3">
                  <c:v>3500</c:v>
                </c:pt>
              </c:numCache>
            </c:numRef>
          </c:val>
          <c:extLst>
            <c:ext xmlns:c16="http://schemas.microsoft.com/office/drawing/2014/chart" uri="{C3380CC4-5D6E-409C-BE32-E72D297353CC}">
              <c16:uniqueId val="{00000002-98BF-4A07-BE11-EC453187ACBC}"/>
            </c:ext>
          </c:extLst>
        </c:ser>
        <c:ser>
          <c:idx val="3"/>
          <c:order val="3"/>
          <c:tx>
            <c:strRef>
              <c:f>'Types of Charts'!$J$789</c:f>
              <c:strCache>
                <c:ptCount val="1"/>
                <c:pt idx="0">
                  <c:v>Apr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'Types of Charts'!$F$790:$F$793</c:f>
              <c:strCache>
                <c:ptCount val="4"/>
                <c:pt idx="0">
                  <c:v>US</c:v>
                </c:pt>
                <c:pt idx="1">
                  <c:v>Europe</c:v>
                </c:pt>
                <c:pt idx="2">
                  <c:v>Asia</c:v>
                </c:pt>
                <c:pt idx="3">
                  <c:v>South America</c:v>
                </c:pt>
              </c:strCache>
            </c:strRef>
          </c:cat>
          <c:val>
            <c:numRef>
              <c:f>'Types of Charts'!$J$790:$J$793</c:f>
              <c:numCache>
                <c:formatCode>_ * #,##0_ ;_ * \-#,##0_ ;_ * "-"??_ ;_ @_ </c:formatCode>
                <c:ptCount val="4"/>
                <c:pt idx="0">
                  <c:v>23000</c:v>
                </c:pt>
                <c:pt idx="1">
                  <c:v>14450</c:v>
                </c:pt>
                <c:pt idx="2">
                  <c:v>28000</c:v>
                </c:pt>
                <c:pt idx="3">
                  <c:v>6000</c:v>
                </c:pt>
              </c:numCache>
            </c:numRef>
          </c:val>
          <c:extLst>
            <c:ext xmlns:c16="http://schemas.microsoft.com/office/drawing/2014/chart" uri="{C3380CC4-5D6E-409C-BE32-E72D297353CC}">
              <c16:uniqueId val="{00000003-98BF-4A07-BE11-EC453187ACBC}"/>
            </c:ext>
          </c:extLst>
        </c:ser>
        <c:ser>
          <c:idx val="4"/>
          <c:order val="4"/>
          <c:tx>
            <c:strRef>
              <c:f>'Types of Charts'!$K$789</c:f>
              <c:strCache>
                <c:ptCount val="1"/>
                <c:pt idx="0">
                  <c:v>May</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'Types of Charts'!$F$790:$F$793</c:f>
              <c:strCache>
                <c:ptCount val="4"/>
                <c:pt idx="0">
                  <c:v>US</c:v>
                </c:pt>
                <c:pt idx="1">
                  <c:v>Europe</c:v>
                </c:pt>
                <c:pt idx="2">
                  <c:v>Asia</c:v>
                </c:pt>
                <c:pt idx="3">
                  <c:v>South America</c:v>
                </c:pt>
              </c:strCache>
            </c:strRef>
          </c:cat>
          <c:val>
            <c:numRef>
              <c:f>'Types of Charts'!$K$790:$K$793</c:f>
              <c:numCache>
                <c:formatCode>_ * #,##0_ ;_ * \-#,##0_ ;_ * "-"??_ ;_ @_ </c:formatCode>
                <c:ptCount val="4"/>
                <c:pt idx="0">
                  <c:v>24000</c:v>
                </c:pt>
                <c:pt idx="1">
                  <c:v>16000</c:v>
                </c:pt>
                <c:pt idx="2">
                  <c:v>30000</c:v>
                </c:pt>
                <c:pt idx="3">
                  <c:v>2000</c:v>
                </c:pt>
              </c:numCache>
            </c:numRef>
          </c:val>
          <c:extLst>
            <c:ext xmlns:c16="http://schemas.microsoft.com/office/drawing/2014/chart" uri="{C3380CC4-5D6E-409C-BE32-E72D297353CC}">
              <c16:uniqueId val="{00000004-98BF-4A07-BE11-EC453187ACBC}"/>
            </c:ext>
          </c:extLst>
        </c:ser>
        <c:dLbls>
          <c:dLblPos val="ctr"/>
          <c:showLegendKey val="0"/>
          <c:showVal val="1"/>
          <c:showCatName val="0"/>
          <c:showSerName val="0"/>
          <c:showPercent val="0"/>
          <c:showBubbleSize val="0"/>
        </c:dLbls>
        <c:gapWidth val="150"/>
        <c:overlap val="100"/>
        <c:axId val="1837484000"/>
        <c:axId val="1837487328"/>
      </c:barChart>
      <c:catAx>
        <c:axId val="183748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487328"/>
        <c:crosses val="autoZero"/>
        <c:auto val="1"/>
        <c:lblAlgn val="ctr"/>
        <c:lblOffset val="100"/>
        <c:noMultiLvlLbl val="0"/>
      </c:catAx>
      <c:valAx>
        <c:axId val="1837487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484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Quarter wise Stacked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'Types of Charts'!$G$814</c:f>
              <c:strCache>
                <c:ptCount val="1"/>
                <c:pt idx="0">
                  <c:v>East</c:v>
                </c:pt>
              </c:strCache>
            </c:strRef>
          </c:tx>
          <c:spPr>
            <a:solidFill>
              <a:schemeClr val="accent1"/>
            </a:solidFill>
            <a:ln>
              <a:noFill/>
            </a:ln>
            <a:effectLst/>
          </c:spPr>
          <c:invertIfNegative val="0"/>
          <c:dLbls>
            <c:delete val="1"/>
          </c:dLbls>
          <c:cat>
            <c:strRef>
              <c:f>'Types of Charts'!$H$813:$K$813</c:f>
              <c:strCache>
                <c:ptCount val="4"/>
                <c:pt idx="0">
                  <c:v>Q1</c:v>
                </c:pt>
                <c:pt idx="1">
                  <c:v>Q2</c:v>
                </c:pt>
                <c:pt idx="2">
                  <c:v>Q3</c:v>
                </c:pt>
                <c:pt idx="3">
                  <c:v>Q4</c:v>
                </c:pt>
              </c:strCache>
            </c:strRef>
          </c:cat>
          <c:val>
            <c:numRef>
              <c:f>'Types of Charts'!$H$814:$K$814</c:f>
              <c:numCache>
                <c:formatCode>_ * #,##0_ ;_ * \-#,##0_ ;_ * "-"??_ ;_ @_ </c:formatCode>
                <c:ptCount val="4"/>
                <c:pt idx="0">
                  <c:v>1000</c:v>
                </c:pt>
                <c:pt idx="1">
                  <c:v>1200</c:v>
                </c:pt>
                <c:pt idx="2">
                  <c:v>1100</c:v>
                </c:pt>
                <c:pt idx="3">
                  <c:v>1250</c:v>
                </c:pt>
              </c:numCache>
            </c:numRef>
          </c:val>
          <c:extLst>
            <c:ext xmlns:c16="http://schemas.microsoft.com/office/drawing/2014/chart" uri="{C3380CC4-5D6E-409C-BE32-E72D297353CC}">
              <c16:uniqueId val="{00000000-5AEC-4C62-9B7E-43AED8ABE221}"/>
            </c:ext>
          </c:extLst>
        </c:ser>
        <c:ser>
          <c:idx val="1"/>
          <c:order val="1"/>
          <c:tx>
            <c:strRef>
              <c:f>'Types of Charts'!$G$815</c:f>
              <c:strCache>
                <c:ptCount val="1"/>
                <c:pt idx="0">
                  <c:v>South</c:v>
                </c:pt>
              </c:strCache>
            </c:strRef>
          </c:tx>
          <c:spPr>
            <a:solidFill>
              <a:schemeClr val="accent2"/>
            </a:solidFill>
            <a:ln>
              <a:noFill/>
            </a:ln>
            <a:effectLst/>
          </c:spPr>
          <c:invertIfNegative val="0"/>
          <c:dLbls>
            <c:delete val="1"/>
          </c:dLbls>
          <c:cat>
            <c:strRef>
              <c:f>'Types of Charts'!$H$813:$K$813</c:f>
              <c:strCache>
                <c:ptCount val="4"/>
                <c:pt idx="0">
                  <c:v>Q1</c:v>
                </c:pt>
                <c:pt idx="1">
                  <c:v>Q2</c:v>
                </c:pt>
                <c:pt idx="2">
                  <c:v>Q3</c:v>
                </c:pt>
                <c:pt idx="3">
                  <c:v>Q4</c:v>
                </c:pt>
              </c:strCache>
            </c:strRef>
          </c:cat>
          <c:val>
            <c:numRef>
              <c:f>'Types of Charts'!$H$815:$K$815</c:f>
              <c:numCache>
                <c:formatCode>_ * #,##0_ ;_ * \-#,##0_ ;_ * "-"??_ ;_ @_ </c:formatCode>
                <c:ptCount val="4"/>
                <c:pt idx="0">
                  <c:v>800</c:v>
                </c:pt>
                <c:pt idx="1">
                  <c:v>900</c:v>
                </c:pt>
                <c:pt idx="2">
                  <c:v>1200</c:v>
                </c:pt>
                <c:pt idx="3">
                  <c:v>1800</c:v>
                </c:pt>
              </c:numCache>
            </c:numRef>
          </c:val>
          <c:extLst>
            <c:ext xmlns:c16="http://schemas.microsoft.com/office/drawing/2014/chart" uri="{C3380CC4-5D6E-409C-BE32-E72D297353CC}">
              <c16:uniqueId val="{00000001-5AEC-4C62-9B7E-43AED8ABE221}"/>
            </c:ext>
          </c:extLst>
        </c:ser>
        <c:ser>
          <c:idx val="2"/>
          <c:order val="2"/>
          <c:tx>
            <c:strRef>
              <c:f>'Types of Charts'!$G$816</c:f>
              <c:strCache>
                <c:ptCount val="1"/>
                <c:pt idx="0">
                  <c:v>North</c:v>
                </c:pt>
              </c:strCache>
            </c:strRef>
          </c:tx>
          <c:spPr>
            <a:solidFill>
              <a:schemeClr val="accent3"/>
            </a:solidFill>
            <a:ln>
              <a:noFill/>
            </a:ln>
            <a:effectLst/>
          </c:spPr>
          <c:invertIfNegative val="0"/>
          <c:dLbls>
            <c:delete val="1"/>
          </c:dLbls>
          <c:cat>
            <c:strRef>
              <c:f>'Types of Charts'!$H$813:$K$813</c:f>
              <c:strCache>
                <c:ptCount val="4"/>
                <c:pt idx="0">
                  <c:v>Q1</c:v>
                </c:pt>
                <c:pt idx="1">
                  <c:v>Q2</c:v>
                </c:pt>
                <c:pt idx="2">
                  <c:v>Q3</c:v>
                </c:pt>
                <c:pt idx="3">
                  <c:v>Q4</c:v>
                </c:pt>
              </c:strCache>
            </c:strRef>
          </c:cat>
          <c:val>
            <c:numRef>
              <c:f>'Types of Charts'!$H$816:$K$816</c:f>
              <c:numCache>
                <c:formatCode>_ * #,##0_ ;_ * \-#,##0_ ;_ * "-"??_ ;_ @_ </c:formatCode>
                <c:ptCount val="4"/>
                <c:pt idx="0">
                  <c:v>600</c:v>
                </c:pt>
                <c:pt idx="1">
                  <c:v>2400</c:v>
                </c:pt>
                <c:pt idx="2">
                  <c:v>2300</c:v>
                </c:pt>
                <c:pt idx="3">
                  <c:v>200</c:v>
                </c:pt>
              </c:numCache>
            </c:numRef>
          </c:val>
          <c:extLst>
            <c:ext xmlns:c16="http://schemas.microsoft.com/office/drawing/2014/chart" uri="{C3380CC4-5D6E-409C-BE32-E72D297353CC}">
              <c16:uniqueId val="{00000002-5AEC-4C62-9B7E-43AED8ABE221}"/>
            </c:ext>
          </c:extLst>
        </c:ser>
        <c:ser>
          <c:idx val="3"/>
          <c:order val="3"/>
          <c:tx>
            <c:strRef>
              <c:f>'Types of Charts'!$G$817</c:f>
              <c:strCache>
                <c:ptCount val="1"/>
                <c:pt idx="0">
                  <c:v>West</c:v>
                </c:pt>
              </c:strCache>
            </c:strRef>
          </c:tx>
          <c:spPr>
            <a:solidFill>
              <a:schemeClr val="accent4"/>
            </a:solidFill>
            <a:ln>
              <a:noFill/>
            </a:ln>
            <a:effectLst/>
          </c:spPr>
          <c:invertIfNegative val="0"/>
          <c:dLbls>
            <c:delete val="1"/>
          </c:dLbls>
          <c:cat>
            <c:strRef>
              <c:f>'Types of Charts'!$H$813:$K$813</c:f>
              <c:strCache>
                <c:ptCount val="4"/>
                <c:pt idx="0">
                  <c:v>Q1</c:v>
                </c:pt>
                <c:pt idx="1">
                  <c:v>Q2</c:v>
                </c:pt>
                <c:pt idx="2">
                  <c:v>Q3</c:v>
                </c:pt>
                <c:pt idx="3">
                  <c:v>Q4</c:v>
                </c:pt>
              </c:strCache>
            </c:strRef>
          </c:cat>
          <c:val>
            <c:numRef>
              <c:f>'Types of Charts'!$H$817:$K$817</c:f>
              <c:numCache>
                <c:formatCode>_ * #,##0_ ;_ * \-#,##0_ ;_ * "-"??_ ;_ @_ </c:formatCode>
                <c:ptCount val="4"/>
                <c:pt idx="0">
                  <c:v>500</c:v>
                </c:pt>
                <c:pt idx="1">
                  <c:v>500</c:v>
                </c:pt>
                <c:pt idx="2">
                  <c:v>500</c:v>
                </c:pt>
                <c:pt idx="3">
                  <c:v>500</c:v>
                </c:pt>
              </c:numCache>
            </c:numRef>
          </c:val>
          <c:extLst>
            <c:ext xmlns:c16="http://schemas.microsoft.com/office/drawing/2014/chart" uri="{C3380CC4-5D6E-409C-BE32-E72D297353CC}">
              <c16:uniqueId val="{00000003-5AEC-4C62-9B7E-43AED8ABE221}"/>
            </c:ext>
          </c:extLst>
        </c:ser>
        <c:dLbls>
          <c:dLblPos val="ctr"/>
          <c:showLegendKey val="0"/>
          <c:showVal val="1"/>
          <c:showCatName val="0"/>
          <c:showSerName val="0"/>
          <c:showPercent val="0"/>
          <c:showBubbleSize val="0"/>
        </c:dLbls>
        <c:gapWidth val="150"/>
        <c:overlap val="100"/>
        <c:axId val="268608256"/>
        <c:axId val="268607840"/>
      </c:barChart>
      <c:catAx>
        <c:axId val="26860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607840"/>
        <c:crosses val="autoZero"/>
        <c:auto val="1"/>
        <c:lblAlgn val="ctr"/>
        <c:lblOffset val="100"/>
        <c:noMultiLvlLbl val="0"/>
      </c:catAx>
      <c:valAx>
        <c:axId val="268607840"/>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608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'Types of Charts'!$H$838</c:f>
              <c:strCache>
                <c:ptCount val="1"/>
                <c:pt idx="0">
                  <c:v>Sales</c:v>
                </c:pt>
              </c:strCache>
            </c:strRef>
          </c:tx>
          <c:spPr>
            <a:ln w="28575" cap="rnd">
              <a:solidFill>
                <a:schemeClr val="accent1"/>
              </a:solidFill>
              <a:round/>
            </a:ln>
            <a:effectLst/>
          </c:spPr>
          <c:marker>
            <c:symbol val="none"/>
          </c:marker>
          <c:cat>
            <c:strRef>
              <c:f>'Types of Charts'!$G$839:$G$850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'Types of Charts'!$H$839:$H$850</c:f>
              <c:numCache>
                <c:formatCode>0.00</c:formatCode>
                <c:ptCount val="12"/>
                <c:pt idx="0" formatCode="_ * #,##0.0_ ;_ * \-#,##0.0_ ;_ * &quot;-&quot;??_ ;_ @_ ">
                  <c:v>25016</c:v>
                </c:pt>
                <c:pt idx="1">
                  <c:v>31600</c:v>
                </c:pt>
                <c:pt idx="2">
                  <c:v>30812</c:v>
                </c:pt>
                <c:pt idx="3">
                  <c:v>30090</c:v>
                </c:pt>
                <c:pt idx="4">
                  <c:v>28061</c:v>
                </c:pt>
                <c:pt idx="5">
                  <c:v>25853</c:v>
                </c:pt>
                <c:pt idx="6">
                  <c:v>32098</c:v>
                </c:pt>
                <c:pt idx="7">
                  <c:v>32050</c:v>
                </c:pt>
                <c:pt idx="8">
                  <c:v>26327</c:v>
                </c:pt>
                <c:pt idx="9">
                  <c:v>26566</c:v>
                </c:pt>
                <c:pt idx="10">
                  <c:v>26237</c:v>
                </c:pt>
                <c:pt idx="11">
                  <c:v>32585</c:v>
                </c:pt>
              </c:numCache>
            </c:numRef>
          </c:val>
          <c:smooth val="0"/>
          <c:extLst>
            <c:ext xmlns:c16="http://schemas.microsoft.com/office/drawing/2014/chart" uri="{C3380CC4-5D6E-409C-BE32-E72D297353CC}">
              <c16:uniqueId val="{00000000-A459-43C7-A7A4-6A2FB5618C7D}"/>
            </c:ext>
          </c:extLst>
        </c:ser>
        <c:dLbls>
          <c:showLegendKey val="0"/>
          <c:showVal val="0"/>
          <c:showCatName val="0"/>
          <c:showSerName val="0"/>
          <c:showPercent val="0"/>
          <c:showBubbleSize val="0"/>
        </c:dLbls>
        <c:smooth val="0"/>
        <c:axId val="421308368"/>
        <c:axId val="421325840"/>
      </c:lineChart>
      <c:catAx>
        <c:axId val="42130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325840"/>
        <c:crosses val="autoZero"/>
        <c:auto val="1"/>
        <c:lblAlgn val="ctr"/>
        <c:lblOffset val="100"/>
        <c:noMultiLvlLbl val="0"/>
      </c:catAx>
      <c:valAx>
        <c:axId val="421325840"/>
        <c:scaling>
          <c:orientation val="minMax"/>
        </c:scaling>
        <c:delete val="0"/>
        <c:axPos val="l"/>
        <c:majorGridlines>
          <c:spPr>
            <a:ln w="9525" cap="flat" cmpd="sng" algn="ctr">
              <a:solidFill>
                <a:schemeClr val="tx1">
                  <a:lumMod val="15000"/>
                  <a:lumOff val="85000"/>
                </a:schemeClr>
              </a:solidFill>
              <a:round/>
            </a:ln>
            <a:effectLst/>
          </c:spPr>
        </c:majorGridlines>
        <c:numFmt formatCode="_ * #,##0.0_ ;_ * \-#,##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30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Stacked</a:t>
            </a:r>
            <a:r>
              <a:rPr lang="en-IN" baseline="0"/>
              <a:t> Line Chart - Shipments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cked"/>
        <c:varyColors val="0"/>
        <c:ser>
          <c:idx val="0"/>
          <c:order val="0"/>
          <c:tx>
            <c:strRef>
              <c:f>'Types of Charts'!$I$838</c:f>
              <c:strCache>
                <c:ptCount val="1"/>
                <c:pt idx="0">
                  <c:v>Domestic Shipments</c:v>
                </c:pt>
              </c:strCache>
            </c:strRef>
          </c:tx>
          <c:spPr>
            <a:ln w="28575" cap="rnd">
              <a:solidFill>
                <a:schemeClr val="accent1"/>
              </a:solidFill>
              <a:round/>
            </a:ln>
            <a:effectLst/>
          </c:spPr>
          <c:marker>
            <c:symbol val="none"/>
          </c:marker>
          <c:cat>
            <c:strRef>
              <c:f>'Types of Charts'!$G$839:$G$850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'Types of Charts'!$I$839:$I$850</c:f>
              <c:numCache>
                <c:formatCode>_ * #,##0_ ;_ * \-#,##0_ ;_ * "-"??_ ;_ @_ </c:formatCode>
                <c:ptCount val="12"/>
                <c:pt idx="0">
                  <c:v>417</c:v>
                </c:pt>
                <c:pt idx="1">
                  <c:v>226</c:v>
                </c:pt>
                <c:pt idx="2">
                  <c:v>503</c:v>
                </c:pt>
                <c:pt idx="3">
                  <c:v>393</c:v>
                </c:pt>
                <c:pt idx="4">
                  <c:v>634</c:v>
                </c:pt>
                <c:pt idx="5">
                  <c:v>329</c:v>
                </c:pt>
                <c:pt idx="6">
                  <c:v>216</c:v>
                </c:pt>
                <c:pt idx="7">
                  <c:v>595</c:v>
                </c:pt>
                <c:pt idx="8">
                  <c:v>571</c:v>
                </c:pt>
                <c:pt idx="9">
                  <c:v>293</c:v>
                </c:pt>
                <c:pt idx="10">
                  <c:v>599</c:v>
                </c:pt>
                <c:pt idx="11">
                  <c:v>253</c:v>
                </c:pt>
              </c:numCache>
            </c:numRef>
          </c:val>
          <c:smooth val="0"/>
          <c:extLst>
            <c:ext xmlns:c16="http://schemas.microsoft.com/office/drawing/2014/chart" uri="{C3380CC4-5D6E-409C-BE32-E72D297353CC}">
              <c16:uniqueId val="{00000000-5495-4BF8-B884-B2C66EAB3F7C}"/>
            </c:ext>
          </c:extLst>
        </c:ser>
        <c:ser>
          <c:idx val="1"/>
          <c:order val="1"/>
          <c:tx>
            <c:strRef>
              <c:f>'Types of Charts'!$J$838</c:f>
              <c:strCache>
                <c:ptCount val="1"/>
                <c:pt idx="0">
                  <c:v>International Shipments</c:v>
                </c:pt>
              </c:strCache>
            </c:strRef>
          </c:tx>
          <c:spPr>
            <a:ln w="28575" cap="rnd">
              <a:solidFill>
                <a:schemeClr val="accent2"/>
              </a:solidFill>
              <a:round/>
            </a:ln>
            <a:effectLst/>
          </c:spPr>
          <c:marker>
            <c:symbol val="none"/>
          </c:marker>
          <c:cat>
            <c:strRef>
              <c:f>'Types of Charts'!$G$839:$G$850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'Types of Charts'!$J$839:$J$850</c:f>
              <c:numCache>
                <c:formatCode>_ * #,##0_ ;_ * \-#,##0_ ;_ * "-"??_ ;_ @_ </c:formatCode>
                <c:ptCount val="12"/>
                <c:pt idx="0">
                  <c:v>450</c:v>
                </c:pt>
                <c:pt idx="1">
                  <c:v>237</c:v>
                </c:pt>
                <c:pt idx="2">
                  <c:v>543</c:v>
                </c:pt>
                <c:pt idx="3">
                  <c:v>424</c:v>
                </c:pt>
                <c:pt idx="4">
                  <c:v>635</c:v>
                </c:pt>
                <c:pt idx="5">
                  <c:v>339</c:v>
                </c:pt>
                <c:pt idx="6">
                  <c:v>233</c:v>
                </c:pt>
                <c:pt idx="7">
                  <c:v>613</c:v>
                </c:pt>
                <c:pt idx="8">
                  <c:v>572</c:v>
                </c:pt>
                <c:pt idx="9">
                  <c:v>302</c:v>
                </c:pt>
                <c:pt idx="10">
                  <c:v>665</c:v>
                </c:pt>
                <c:pt idx="11">
                  <c:v>291</c:v>
                </c:pt>
              </c:numCache>
            </c:numRef>
          </c:val>
          <c:smooth val="0"/>
          <c:extLst>
            <c:ext xmlns:c16="http://schemas.microsoft.com/office/drawing/2014/chart" uri="{C3380CC4-5D6E-409C-BE32-E72D297353CC}">
              <c16:uniqueId val="{00000001-5495-4BF8-B884-B2C66EAB3F7C}"/>
            </c:ext>
          </c:extLst>
        </c:ser>
        <c:dLbls>
          <c:showLegendKey val="0"/>
          <c:showVal val="0"/>
          <c:showCatName val="0"/>
          <c:showSerName val="0"/>
          <c:showPercent val="0"/>
          <c:showBubbleSize val="0"/>
        </c:dLbls>
        <c:smooth val="0"/>
        <c:axId val="258483408"/>
        <c:axId val="258490896"/>
      </c:lineChart>
      <c:catAx>
        <c:axId val="25848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490896"/>
        <c:crosses val="autoZero"/>
        <c:auto val="1"/>
        <c:lblAlgn val="ctr"/>
        <c:lblOffset val="100"/>
        <c:noMultiLvlLbl val="0"/>
      </c:catAx>
      <c:valAx>
        <c:axId val="258490896"/>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483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100% Stacked Line Chart - Shipments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percentStacked"/>
        <c:varyColors val="0"/>
        <c:ser>
          <c:idx val="0"/>
          <c:order val="0"/>
          <c:tx>
            <c:strRef>
              <c:f>'Types of Charts'!$I$838</c:f>
              <c:strCache>
                <c:ptCount val="1"/>
                <c:pt idx="0">
                  <c:v>Domestic Shipments</c:v>
                </c:pt>
              </c:strCache>
            </c:strRef>
          </c:tx>
          <c:spPr>
            <a:ln w="28575" cap="rnd">
              <a:solidFill>
                <a:schemeClr val="accent1"/>
              </a:solidFill>
              <a:round/>
            </a:ln>
            <a:effectLst/>
          </c:spPr>
          <c:marker>
            <c:symbol val="none"/>
          </c:marker>
          <c:cat>
            <c:strRef>
              <c:f>'Types of Charts'!$G$839:$G$850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'Types of Charts'!$I$839:$I$850</c:f>
              <c:numCache>
                <c:formatCode>_ * #,##0_ ;_ * \-#,##0_ ;_ * "-"??_ ;_ @_ </c:formatCode>
                <c:ptCount val="12"/>
                <c:pt idx="0">
                  <c:v>417</c:v>
                </c:pt>
                <c:pt idx="1">
                  <c:v>226</c:v>
                </c:pt>
                <c:pt idx="2">
                  <c:v>503</c:v>
                </c:pt>
                <c:pt idx="3">
                  <c:v>393</c:v>
                </c:pt>
                <c:pt idx="4">
                  <c:v>634</c:v>
                </c:pt>
                <c:pt idx="5">
                  <c:v>329</c:v>
                </c:pt>
                <c:pt idx="6">
                  <c:v>216</c:v>
                </c:pt>
                <c:pt idx="7">
                  <c:v>595</c:v>
                </c:pt>
                <c:pt idx="8">
                  <c:v>571</c:v>
                </c:pt>
                <c:pt idx="9">
                  <c:v>293</c:v>
                </c:pt>
                <c:pt idx="10">
                  <c:v>599</c:v>
                </c:pt>
                <c:pt idx="11">
                  <c:v>253</c:v>
                </c:pt>
              </c:numCache>
            </c:numRef>
          </c:val>
          <c:smooth val="0"/>
          <c:extLst>
            <c:ext xmlns:c16="http://schemas.microsoft.com/office/drawing/2014/chart" uri="{C3380CC4-5D6E-409C-BE32-E72D297353CC}">
              <c16:uniqueId val="{00000000-560F-45BE-A2CB-454B842A89AE}"/>
            </c:ext>
          </c:extLst>
        </c:ser>
        <c:ser>
          <c:idx val="1"/>
          <c:order val="1"/>
          <c:tx>
            <c:strRef>
              <c:f>'Types of Charts'!$J$838</c:f>
              <c:strCache>
                <c:ptCount val="1"/>
                <c:pt idx="0">
                  <c:v>International Shipments</c:v>
                </c:pt>
              </c:strCache>
            </c:strRef>
          </c:tx>
          <c:spPr>
            <a:ln w="28575" cap="rnd">
              <a:solidFill>
                <a:schemeClr val="accent2"/>
              </a:solidFill>
              <a:round/>
            </a:ln>
            <a:effectLst/>
          </c:spPr>
          <c:marker>
            <c:symbol val="none"/>
          </c:marker>
          <c:cat>
            <c:strRef>
              <c:f>'Types of Charts'!$G$839:$G$850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'Types of Charts'!$J$839:$J$850</c:f>
              <c:numCache>
                <c:formatCode>_ * #,##0_ ;_ * \-#,##0_ ;_ * "-"??_ ;_ @_ </c:formatCode>
                <c:ptCount val="12"/>
                <c:pt idx="0">
                  <c:v>450</c:v>
                </c:pt>
                <c:pt idx="1">
                  <c:v>237</c:v>
                </c:pt>
                <c:pt idx="2">
                  <c:v>543</c:v>
                </c:pt>
                <c:pt idx="3">
                  <c:v>424</c:v>
                </c:pt>
                <c:pt idx="4">
                  <c:v>635</c:v>
                </c:pt>
                <c:pt idx="5">
                  <c:v>339</c:v>
                </c:pt>
                <c:pt idx="6">
                  <c:v>233</c:v>
                </c:pt>
                <c:pt idx="7">
                  <c:v>613</c:v>
                </c:pt>
                <c:pt idx="8">
                  <c:v>572</c:v>
                </c:pt>
                <c:pt idx="9">
                  <c:v>302</c:v>
                </c:pt>
                <c:pt idx="10">
                  <c:v>665</c:v>
                </c:pt>
                <c:pt idx="11">
                  <c:v>291</c:v>
                </c:pt>
              </c:numCache>
            </c:numRef>
          </c:val>
          <c:smooth val="0"/>
          <c:extLst>
            <c:ext xmlns:c16="http://schemas.microsoft.com/office/drawing/2014/chart" uri="{C3380CC4-5D6E-409C-BE32-E72D297353CC}">
              <c16:uniqueId val="{00000001-560F-45BE-A2CB-454B842A89AE}"/>
            </c:ext>
          </c:extLst>
        </c:ser>
        <c:dLbls>
          <c:showLegendKey val="0"/>
          <c:showVal val="0"/>
          <c:showCatName val="0"/>
          <c:showSerName val="0"/>
          <c:showPercent val="0"/>
          <c:showBubbleSize val="0"/>
        </c:dLbls>
        <c:smooth val="0"/>
        <c:axId val="1388994096"/>
        <c:axId val="1388993264"/>
      </c:lineChart>
      <c:catAx>
        <c:axId val="138899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993264"/>
        <c:crosses val="autoZero"/>
        <c:auto val="1"/>
        <c:lblAlgn val="ctr"/>
        <c:lblOffset val="100"/>
        <c:noMultiLvlLbl val="0"/>
      </c:catAx>
      <c:valAx>
        <c:axId val="13889932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994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Quarter wise 100% Stacked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'Types of Charts'!$G$814</c:f>
              <c:strCache>
                <c:ptCount val="1"/>
                <c:pt idx="0">
                  <c:v>East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'Types of Charts'!$H$813:$K$813</c:f>
              <c:strCache>
                <c:ptCount val="4"/>
                <c:pt idx="0">
                  <c:v>Q1</c:v>
                </c:pt>
                <c:pt idx="1">
                  <c:v>Q2</c:v>
                </c:pt>
                <c:pt idx="2">
                  <c:v>Q3</c:v>
                </c:pt>
                <c:pt idx="3">
                  <c:v>Q4</c:v>
                </c:pt>
              </c:strCache>
            </c:strRef>
          </c:cat>
          <c:val>
            <c:numRef>
              <c:f>'Types of Charts'!$H$814:$K$814</c:f>
              <c:numCache>
                <c:formatCode>_ * #,##0_ ;_ * \-#,##0_ ;_ * "-"??_ ;_ @_ </c:formatCode>
                <c:ptCount val="4"/>
                <c:pt idx="0">
                  <c:v>1000</c:v>
                </c:pt>
                <c:pt idx="1">
                  <c:v>1200</c:v>
                </c:pt>
                <c:pt idx="2">
                  <c:v>1100</c:v>
                </c:pt>
                <c:pt idx="3">
                  <c:v>1250</c:v>
                </c:pt>
              </c:numCache>
            </c:numRef>
          </c:val>
          <c:extLst>
            <c:ext xmlns:c16="http://schemas.microsoft.com/office/drawing/2014/chart" uri="{C3380CC4-5D6E-409C-BE32-E72D297353CC}">
              <c16:uniqueId val="{00000000-363D-40C8-9790-B5E935A00720}"/>
            </c:ext>
          </c:extLst>
        </c:ser>
        <c:ser>
          <c:idx val="1"/>
          <c:order val="1"/>
          <c:tx>
            <c:strRef>
              <c:f>'Types of Charts'!$G$815</c:f>
              <c:strCache>
                <c:ptCount val="1"/>
                <c:pt idx="0">
                  <c:v>South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'Types of Charts'!$H$813:$K$813</c:f>
              <c:strCache>
                <c:ptCount val="4"/>
                <c:pt idx="0">
                  <c:v>Q1</c:v>
                </c:pt>
                <c:pt idx="1">
                  <c:v>Q2</c:v>
                </c:pt>
                <c:pt idx="2">
                  <c:v>Q3</c:v>
                </c:pt>
                <c:pt idx="3">
                  <c:v>Q4</c:v>
                </c:pt>
              </c:strCache>
            </c:strRef>
          </c:cat>
          <c:val>
            <c:numRef>
              <c:f>'Types of Charts'!$H$815:$K$815</c:f>
              <c:numCache>
                <c:formatCode>_ * #,##0_ ;_ * \-#,##0_ ;_ * "-"??_ ;_ @_ </c:formatCode>
                <c:ptCount val="4"/>
                <c:pt idx="0">
                  <c:v>800</c:v>
                </c:pt>
                <c:pt idx="1">
                  <c:v>900</c:v>
                </c:pt>
                <c:pt idx="2">
                  <c:v>1200</c:v>
                </c:pt>
                <c:pt idx="3">
                  <c:v>1800</c:v>
                </c:pt>
              </c:numCache>
            </c:numRef>
          </c:val>
          <c:extLst>
            <c:ext xmlns:c16="http://schemas.microsoft.com/office/drawing/2014/chart" uri="{C3380CC4-5D6E-409C-BE32-E72D297353CC}">
              <c16:uniqueId val="{00000001-363D-40C8-9790-B5E935A00720}"/>
            </c:ext>
          </c:extLst>
        </c:ser>
        <c:ser>
          <c:idx val="2"/>
          <c:order val="2"/>
          <c:tx>
            <c:strRef>
              <c:f>'Types of Charts'!$G$816</c:f>
              <c:strCache>
                <c:ptCount val="1"/>
                <c:pt idx="0">
                  <c:v>North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'Types of Charts'!$H$813:$K$813</c:f>
              <c:strCache>
                <c:ptCount val="4"/>
                <c:pt idx="0">
                  <c:v>Q1</c:v>
                </c:pt>
                <c:pt idx="1">
                  <c:v>Q2</c:v>
                </c:pt>
                <c:pt idx="2">
                  <c:v>Q3</c:v>
                </c:pt>
                <c:pt idx="3">
                  <c:v>Q4</c:v>
                </c:pt>
              </c:strCache>
            </c:strRef>
          </c:cat>
          <c:val>
            <c:numRef>
              <c:f>'Types of Charts'!$H$816:$K$816</c:f>
              <c:numCache>
                <c:formatCode>_ * #,##0_ ;_ * \-#,##0_ ;_ * "-"??_ ;_ @_ </c:formatCode>
                <c:ptCount val="4"/>
                <c:pt idx="0">
                  <c:v>600</c:v>
                </c:pt>
                <c:pt idx="1">
                  <c:v>2400</c:v>
                </c:pt>
                <c:pt idx="2">
                  <c:v>2300</c:v>
                </c:pt>
                <c:pt idx="3">
                  <c:v>200</c:v>
                </c:pt>
              </c:numCache>
            </c:numRef>
          </c:val>
          <c:extLst>
            <c:ext xmlns:c16="http://schemas.microsoft.com/office/drawing/2014/chart" uri="{C3380CC4-5D6E-409C-BE32-E72D297353CC}">
              <c16:uniqueId val="{00000002-363D-40C8-9790-B5E935A00720}"/>
            </c:ext>
          </c:extLst>
        </c:ser>
        <c:ser>
          <c:idx val="3"/>
          <c:order val="3"/>
          <c:tx>
            <c:strRef>
              <c:f>'Types of Charts'!$G$817</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'Types of Charts'!$H$813:$K$813</c:f>
              <c:strCache>
                <c:ptCount val="4"/>
                <c:pt idx="0">
                  <c:v>Q1</c:v>
                </c:pt>
                <c:pt idx="1">
                  <c:v>Q2</c:v>
                </c:pt>
                <c:pt idx="2">
                  <c:v>Q3</c:v>
                </c:pt>
                <c:pt idx="3">
                  <c:v>Q4</c:v>
                </c:pt>
              </c:strCache>
            </c:strRef>
          </c:cat>
          <c:val>
            <c:numRef>
              <c:f>'Types of Charts'!$H$817:$K$817</c:f>
              <c:numCache>
                <c:formatCode>_ * #,##0_ ;_ * \-#,##0_ ;_ * "-"??_ ;_ @_ </c:formatCode>
                <c:ptCount val="4"/>
                <c:pt idx="0">
                  <c:v>500</c:v>
                </c:pt>
                <c:pt idx="1">
                  <c:v>500</c:v>
                </c:pt>
                <c:pt idx="2">
                  <c:v>500</c:v>
                </c:pt>
                <c:pt idx="3">
                  <c:v>500</c:v>
                </c:pt>
              </c:numCache>
            </c:numRef>
          </c:val>
          <c:extLst>
            <c:ext xmlns:c16="http://schemas.microsoft.com/office/drawing/2014/chart" uri="{C3380CC4-5D6E-409C-BE32-E72D297353CC}">
              <c16:uniqueId val="{00000003-363D-40C8-9790-B5E935A00720}"/>
            </c:ext>
          </c:extLst>
        </c:ser>
        <c:dLbls>
          <c:dLblPos val="ctr"/>
          <c:showLegendKey val="0"/>
          <c:showVal val="1"/>
          <c:showCatName val="0"/>
          <c:showSerName val="0"/>
          <c:showPercent val="0"/>
          <c:showBubbleSize val="0"/>
        </c:dLbls>
        <c:gapWidth val="150"/>
        <c:overlap val="100"/>
        <c:axId val="268608256"/>
        <c:axId val="268607840"/>
      </c:barChart>
      <c:catAx>
        <c:axId val="26860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607840"/>
        <c:crosses val="autoZero"/>
        <c:auto val="1"/>
        <c:lblAlgn val="ctr"/>
        <c:lblOffset val="100"/>
        <c:noMultiLvlLbl val="0"/>
      </c:catAx>
      <c:valAx>
        <c:axId val="268607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608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'Types of Charts'!$E$872</c:f>
              <c:strCache>
                <c:ptCount val="1"/>
                <c:pt idx="0">
                  <c:v>North</c:v>
                </c:pt>
              </c:strCache>
            </c:strRef>
          </c:tx>
          <c:spPr>
            <a:ln w="28575" cap="rnd">
              <a:solidFill>
                <a:schemeClr val="accent1"/>
              </a:solidFill>
              <a:round/>
            </a:ln>
            <a:effectLst/>
          </c:spPr>
          <c:marker>
            <c:symbol val="none"/>
          </c:marker>
          <c:cat>
            <c:strRef>
              <c:f>'Types of Charts'!$F$871:$M$871</c:f>
              <c:strCache>
                <c:ptCount val="8"/>
                <c:pt idx="0">
                  <c:v>2011</c:v>
                </c:pt>
                <c:pt idx="1">
                  <c:v>2012</c:v>
                </c:pt>
                <c:pt idx="2">
                  <c:v>2013</c:v>
                </c:pt>
                <c:pt idx="3">
                  <c:v>2014</c:v>
                </c:pt>
                <c:pt idx="4">
                  <c:v>2015</c:v>
                </c:pt>
                <c:pt idx="5">
                  <c:v>2016</c:v>
                </c:pt>
                <c:pt idx="6">
                  <c:v>2017</c:v>
                </c:pt>
                <c:pt idx="7">
                  <c:v>2018</c:v>
                </c:pt>
              </c:strCache>
            </c:strRef>
          </c:cat>
          <c:val>
            <c:numRef>
              <c:f>'Types of Charts'!$F$872:$M$872</c:f>
              <c:numCache>
                <c:formatCode>_ * #,##0_ ;_ * \-#,##0_ ;_ * "-"??_ ;_ @_ </c:formatCode>
                <c:ptCount val="8"/>
                <c:pt idx="0">
                  <c:v>12000</c:v>
                </c:pt>
                <c:pt idx="1">
                  <c:v>13000</c:v>
                </c:pt>
                <c:pt idx="2">
                  <c:v>12500</c:v>
                </c:pt>
                <c:pt idx="3">
                  <c:v>14500</c:v>
                </c:pt>
                <c:pt idx="4">
                  <c:v>17300</c:v>
                </c:pt>
                <c:pt idx="5">
                  <c:v>16000</c:v>
                </c:pt>
                <c:pt idx="6">
                  <c:v>18200</c:v>
                </c:pt>
                <c:pt idx="7">
                  <c:v>22000</c:v>
                </c:pt>
              </c:numCache>
            </c:numRef>
          </c:val>
          <c:smooth val="0"/>
          <c:extLst>
            <c:ext xmlns:c16="http://schemas.microsoft.com/office/drawing/2014/chart" uri="{C3380CC4-5D6E-409C-BE32-E72D297353CC}">
              <c16:uniqueId val="{00000000-C598-471F-AEFF-E5A9D9411EC4}"/>
            </c:ext>
          </c:extLst>
        </c:ser>
        <c:ser>
          <c:idx val="1"/>
          <c:order val="1"/>
          <c:tx>
            <c:strRef>
              <c:f>'Types of Charts'!$E$873</c:f>
              <c:strCache>
                <c:ptCount val="1"/>
                <c:pt idx="0">
                  <c:v>South</c:v>
                </c:pt>
              </c:strCache>
            </c:strRef>
          </c:tx>
          <c:spPr>
            <a:ln w="28575" cap="rnd">
              <a:solidFill>
                <a:schemeClr val="accent2"/>
              </a:solidFill>
              <a:round/>
            </a:ln>
            <a:effectLst/>
          </c:spPr>
          <c:marker>
            <c:symbol val="none"/>
          </c:marker>
          <c:cat>
            <c:strRef>
              <c:f>'Types of Charts'!$F$871:$M$871</c:f>
              <c:strCache>
                <c:ptCount val="8"/>
                <c:pt idx="0">
                  <c:v>2011</c:v>
                </c:pt>
                <c:pt idx="1">
                  <c:v>2012</c:v>
                </c:pt>
                <c:pt idx="2">
                  <c:v>2013</c:v>
                </c:pt>
                <c:pt idx="3">
                  <c:v>2014</c:v>
                </c:pt>
                <c:pt idx="4">
                  <c:v>2015</c:v>
                </c:pt>
                <c:pt idx="5">
                  <c:v>2016</c:v>
                </c:pt>
                <c:pt idx="6">
                  <c:v>2017</c:v>
                </c:pt>
                <c:pt idx="7">
                  <c:v>2018</c:v>
                </c:pt>
              </c:strCache>
            </c:strRef>
          </c:cat>
          <c:val>
            <c:numRef>
              <c:f>'Types of Charts'!$F$873:$M$873</c:f>
              <c:numCache>
                <c:formatCode>_ * #,##0_ ;_ * \-#,##0_ ;_ * "-"??_ ;_ @_ </c:formatCode>
                <c:ptCount val="8"/>
                <c:pt idx="0">
                  <c:v>9000</c:v>
                </c:pt>
                <c:pt idx="1">
                  <c:v>9000</c:v>
                </c:pt>
                <c:pt idx="2">
                  <c:v>9000</c:v>
                </c:pt>
                <c:pt idx="3">
                  <c:v>9500</c:v>
                </c:pt>
                <c:pt idx="4">
                  <c:v>9500</c:v>
                </c:pt>
                <c:pt idx="5">
                  <c:v>9500</c:v>
                </c:pt>
                <c:pt idx="6">
                  <c:v>10000</c:v>
                </c:pt>
                <c:pt idx="7">
                  <c:v>9000</c:v>
                </c:pt>
              </c:numCache>
            </c:numRef>
          </c:val>
          <c:smooth val="0"/>
          <c:extLst>
            <c:ext xmlns:c16="http://schemas.microsoft.com/office/drawing/2014/chart" uri="{C3380CC4-5D6E-409C-BE32-E72D297353CC}">
              <c16:uniqueId val="{00000001-C598-471F-AEFF-E5A9D9411EC4}"/>
            </c:ext>
          </c:extLst>
        </c:ser>
        <c:ser>
          <c:idx val="2"/>
          <c:order val="2"/>
          <c:tx>
            <c:strRef>
              <c:f>'Types of Charts'!$E$874</c:f>
              <c:strCache>
                <c:ptCount val="1"/>
                <c:pt idx="0">
                  <c:v>West</c:v>
                </c:pt>
              </c:strCache>
            </c:strRef>
          </c:tx>
          <c:spPr>
            <a:ln w="28575" cap="rnd">
              <a:solidFill>
                <a:schemeClr val="accent3"/>
              </a:solidFill>
              <a:round/>
            </a:ln>
            <a:effectLst/>
          </c:spPr>
          <c:marker>
            <c:symbol val="none"/>
          </c:marker>
          <c:cat>
            <c:strRef>
              <c:f>'Types of Charts'!$F$871:$M$871</c:f>
              <c:strCache>
                <c:ptCount val="8"/>
                <c:pt idx="0">
                  <c:v>2011</c:v>
                </c:pt>
                <c:pt idx="1">
                  <c:v>2012</c:v>
                </c:pt>
                <c:pt idx="2">
                  <c:v>2013</c:v>
                </c:pt>
                <c:pt idx="3">
                  <c:v>2014</c:v>
                </c:pt>
                <c:pt idx="4">
                  <c:v>2015</c:v>
                </c:pt>
                <c:pt idx="5">
                  <c:v>2016</c:v>
                </c:pt>
                <c:pt idx="6">
                  <c:v>2017</c:v>
                </c:pt>
                <c:pt idx="7">
                  <c:v>2018</c:v>
                </c:pt>
              </c:strCache>
            </c:strRef>
          </c:cat>
          <c:val>
            <c:numRef>
              <c:f>'Types of Charts'!$F$874:$M$874</c:f>
              <c:numCache>
                <c:formatCode>_ * #,##0_ ;_ * \-#,##0_ ;_ * "-"??_ ;_ @_ </c:formatCode>
                <c:ptCount val="8"/>
                <c:pt idx="0">
                  <c:v>28000</c:v>
                </c:pt>
                <c:pt idx="1">
                  <c:v>27500</c:v>
                </c:pt>
                <c:pt idx="2">
                  <c:v>24000</c:v>
                </c:pt>
                <c:pt idx="3">
                  <c:v>25000</c:v>
                </c:pt>
                <c:pt idx="4">
                  <c:v>24500</c:v>
                </c:pt>
                <c:pt idx="5">
                  <c:v>24750</c:v>
                </c:pt>
                <c:pt idx="6">
                  <c:v>28000</c:v>
                </c:pt>
                <c:pt idx="7">
                  <c:v>29000</c:v>
                </c:pt>
              </c:numCache>
            </c:numRef>
          </c:val>
          <c:smooth val="0"/>
          <c:extLst>
            <c:ext xmlns:c16="http://schemas.microsoft.com/office/drawing/2014/chart" uri="{C3380CC4-5D6E-409C-BE32-E72D297353CC}">
              <c16:uniqueId val="{00000002-C598-471F-AEFF-E5A9D9411EC4}"/>
            </c:ext>
          </c:extLst>
        </c:ser>
        <c:ser>
          <c:idx val="3"/>
          <c:order val="3"/>
          <c:tx>
            <c:strRef>
              <c:f>'Types of Charts'!$E$875</c:f>
              <c:strCache>
                <c:ptCount val="1"/>
                <c:pt idx="0">
                  <c:v>East</c:v>
                </c:pt>
              </c:strCache>
            </c:strRef>
          </c:tx>
          <c:spPr>
            <a:ln w="28575" cap="rnd">
              <a:solidFill>
                <a:schemeClr val="accent4"/>
              </a:solidFill>
              <a:round/>
            </a:ln>
            <a:effectLst/>
          </c:spPr>
          <c:marker>
            <c:symbol val="none"/>
          </c:marker>
          <c:cat>
            <c:strRef>
              <c:f>'Types of Charts'!$F$871:$M$871</c:f>
              <c:strCache>
                <c:ptCount val="8"/>
                <c:pt idx="0">
                  <c:v>2011</c:v>
                </c:pt>
                <c:pt idx="1">
                  <c:v>2012</c:v>
                </c:pt>
                <c:pt idx="2">
                  <c:v>2013</c:v>
                </c:pt>
                <c:pt idx="3">
                  <c:v>2014</c:v>
                </c:pt>
                <c:pt idx="4">
                  <c:v>2015</c:v>
                </c:pt>
                <c:pt idx="5">
                  <c:v>2016</c:v>
                </c:pt>
                <c:pt idx="6">
                  <c:v>2017</c:v>
                </c:pt>
                <c:pt idx="7">
                  <c:v>2018</c:v>
                </c:pt>
              </c:strCache>
            </c:strRef>
          </c:cat>
          <c:val>
            <c:numRef>
              <c:f>'Types of Charts'!$F$875:$M$875</c:f>
              <c:numCache>
                <c:formatCode>_ * #,##0_ ;_ * \-#,##0_ ;_ * "-"??_ ;_ @_ </c:formatCode>
                <c:ptCount val="8"/>
                <c:pt idx="0">
                  <c:v>18000</c:v>
                </c:pt>
                <c:pt idx="1">
                  <c:v>8000</c:v>
                </c:pt>
                <c:pt idx="2">
                  <c:v>7000</c:v>
                </c:pt>
                <c:pt idx="3">
                  <c:v>22000</c:v>
                </c:pt>
                <c:pt idx="4">
                  <c:v>13000</c:v>
                </c:pt>
                <c:pt idx="5">
                  <c:v>14500</c:v>
                </c:pt>
                <c:pt idx="6">
                  <c:v>16500</c:v>
                </c:pt>
                <c:pt idx="7">
                  <c:v>17000</c:v>
                </c:pt>
              </c:numCache>
            </c:numRef>
          </c:val>
          <c:smooth val="0"/>
          <c:extLst>
            <c:ext xmlns:c16="http://schemas.microsoft.com/office/drawing/2014/chart" uri="{C3380CC4-5D6E-409C-BE32-E72D297353CC}">
              <c16:uniqueId val="{00000003-C598-471F-AEFF-E5A9D9411EC4}"/>
            </c:ext>
          </c:extLst>
        </c:ser>
        <c:dLbls>
          <c:showLegendKey val="0"/>
          <c:showVal val="0"/>
          <c:showCatName val="0"/>
          <c:showSerName val="0"/>
          <c:showPercent val="0"/>
          <c:showBubbleSize val="0"/>
        </c:dLbls>
        <c:smooth val="0"/>
        <c:axId val="222635360"/>
        <c:axId val="362189328"/>
      </c:lineChart>
      <c:catAx>
        <c:axId val="22263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189328"/>
        <c:crosses val="autoZero"/>
        <c:auto val="1"/>
        <c:lblAlgn val="ctr"/>
        <c:lblOffset val="100"/>
        <c:noMultiLvlLbl val="0"/>
      </c:catAx>
      <c:valAx>
        <c:axId val="362189328"/>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635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Area Chart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areaChart>
        <c:grouping val="standard"/>
        <c:varyColors val="0"/>
        <c:ser>
          <c:idx val="0"/>
          <c:order val="0"/>
          <c:tx>
            <c:strRef>
              <c:f>'Types of Charts'!$C$4</c:f>
              <c:strCache>
                <c:ptCount val="1"/>
                <c:pt idx="0">
                  <c:v>Computers</c:v>
                </c:pt>
              </c:strCache>
            </c:strRef>
          </c:tx>
          <c:spPr>
            <a:solidFill>
              <a:schemeClr val="accent1">
                <a:alpha val="85000"/>
              </a:schemeClr>
            </a:solidFill>
            <a:ln>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'Types of Charts'!$B$5:$B$8</c:f>
              <c:numCache>
                <c:formatCode>General</c:formatCode>
                <c:ptCount val="4"/>
                <c:pt idx="0">
                  <c:v>2017</c:v>
                </c:pt>
                <c:pt idx="1">
                  <c:v>2018</c:v>
                </c:pt>
                <c:pt idx="2">
                  <c:v>2019</c:v>
                </c:pt>
                <c:pt idx="3">
                  <c:v>2020</c:v>
                </c:pt>
              </c:numCache>
            </c:numRef>
          </c:cat>
          <c:val>
            <c:numRef>
              <c:f>'Types of Charts'!$C$5:$C$8</c:f>
              <c:numCache>
                <c:formatCode>_ * #,##0_ ;_ * \-#,##0_ ;_ * "-"??_ ;_ @_ </c:formatCode>
                <c:ptCount val="4"/>
                <c:pt idx="0">
                  <c:v>2000</c:v>
                </c:pt>
                <c:pt idx="1">
                  <c:v>3300</c:v>
                </c:pt>
                <c:pt idx="2">
                  <c:v>4100</c:v>
                </c:pt>
                <c:pt idx="3">
                  <c:v>3000</c:v>
                </c:pt>
              </c:numCache>
            </c:numRef>
          </c:val>
          <c:extLst>
            <c:ext xmlns:c16="http://schemas.microsoft.com/office/drawing/2014/chart" uri="{C3380CC4-5D6E-409C-BE32-E72D297353CC}">
              <c16:uniqueId val="{00000000-56B5-4905-96A6-E6C17B00CA81}"/>
            </c:ext>
          </c:extLst>
        </c:ser>
        <c:ser>
          <c:idx val="1"/>
          <c:order val="1"/>
          <c:tx>
            <c:strRef>
              <c:f>'Types of Charts'!$D$4</c:f>
              <c:strCache>
                <c:ptCount val="1"/>
                <c:pt idx="0">
                  <c:v>Furniture</c:v>
                </c:pt>
              </c:strCache>
            </c:strRef>
          </c:tx>
          <c:spPr>
            <a:solidFill>
              <a:schemeClr val="accent2">
                <a:alpha val="85000"/>
              </a:schemeClr>
            </a:solidFill>
            <a:ln>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'Types of Charts'!$B$5:$B$8</c:f>
              <c:numCache>
                <c:formatCode>General</c:formatCode>
                <c:ptCount val="4"/>
                <c:pt idx="0">
                  <c:v>2017</c:v>
                </c:pt>
                <c:pt idx="1">
                  <c:v>2018</c:v>
                </c:pt>
                <c:pt idx="2">
                  <c:v>2019</c:v>
                </c:pt>
                <c:pt idx="3">
                  <c:v>2020</c:v>
                </c:pt>
              </c:numCache>
            </c:numRef>
          </c:cat>
          <c:val>
            <c:numRef>
              <c:f>'Types of Charts'!$D$5:$D$8</c:f>
              <c:numCache>
                <c:formatCode>_ * #,##0_ ;_ * \-#,##0_ ;_ * "-"??_ ;_ @_ </c:formatCode>
                <c:ptCount val="4"/>
                <c:pt idx="0">
                  <c:v>600</c:v>
                </c:pt>
                <c:pt idx="1">
                  <c:v>760</c:v>
                </c:pt>
                <c:pt idx="2">
                  <c:v>500</c:v>
                </c:pt>
                <c:pt idx="3">
                  <c:v>750</c:v>
                </c:pt>
              </c:numCache>
            </c:numRef>
          </c:val>
          <c:extLst>
            <c:ext xmlns:c16="http://schemas.microsoft.com/office/drawing/2014/chart" uri="{C3380CC4-5D6E-409C-BE32-E72D297353CC}">
              <c16:uniqueId val="{00000001-56B5-4905-96A6-E6C17B00CA81}"/>
            </c:ext>
          </c:extLst>
        </c:ser>
        <c:ser>
          <c:idx val="2"/>
          <c:order val="2"/>
          <c:tx>
            <c:strRef>
              <c:f>'Types of Charts'!$E$4</c:f>
              <c:strCache>
                <c:ptCount val="1"/>
                <c:pt idx="0">
                  <c:v>Office Supplies</c:v>
                </c:pt>
              </c:strCache>
            </c:strRef>
          </c:tx>
          <c:spPr>
            <a:solidFill>
              <a:schemeClr val="accent3">
                <a:alpha val="85000"/>
              </a:schemeClr>
            </a:solidFill>
            <a:ln>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'Types of Charts'!$B$5:$B$8</c:f>
              <c:numCache>
                <c:formatCode>General</c:formatCode>
                <c:ptCount val="4"/>
                <c:pt idx="0">
                  <c:v>2017</c:v>
                </c:pt>
                <c:pt idx="1">
                  <c:v>2018</c:v>
                </c:pt>
                <c:pt idx="2">
                  <c:v>2019</c:v>
                </c:pt>
                <c:pt idx="3">
                  <c:v>2020</c:v>
                </c:pt>
              </c:numCache>
            </c:numRef>
          </c:cat>
          <c:val>
            <c:numRef>
              <c:f>'Types of Charts'!$E$5:$E$8</c:f>
              <c:numCache>
                <c:formatCode>_ * #,##0_ ;_ * \-#,##0_ ;_ * "-"??_ ;_ @_ </c:formatCode>
                <c:ptCount val="4"/>
                <c:pt idx="0">
                  <c:v>75</c:v>
                </c:pt>
                <c:pt idx="1">
                  <c:v>85</c:v>
                </c:pt>
                <c:pt idx="2">
                  <c:v>225</c:v>
                </c:pt>
                <c:pt idx="3">
                  <c:v>123</c:v>
                </c:pt>
              </c:numCache>
            </c:numRef>
          </c:val>
          <c:extLst>
            <c:ext xmlns:c16="http://schemas.microsoft.com/office/drawing/2014/chart" uri="{C3380CC4-5D6E-409C-BE32-E72D297353CC}">
              <c16:uniqueId val="{00000002-56B5-4905-96A6-E6C17B00CA81}"/>
            </c:ext>
          </c:extLst>
        </c:ser>
        <c:dLbls>
          <c:showLegendKey val="0"/>
          <c:showVal val="1"/>
          <c:showCatName val="0"/>
          <c:showSerName val="0"/>
          <c:showPercent val="0"/>
          <c:showBubbleSize val="0"/>
        </c:dLbls>
        <c:axId val="1141740784"/>
        <c:axId val="1141741200"/>
      </c:areaChart>
      <c:catAx>
        <c:axId val="11417407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41741200"/>
        <c:crosses val="autoZero"/>
        <c:auto val="1"/>
        <c:lblAlgn val="ctr"/>
        <c:lblOffset val="100"/>
        <c:noMultiLvlLbl val="0"/>
      </c:catAx>
      <c:valAx>
        <c:axId val="11417412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41740784"/>
        <c:crosses val="autoZero"/>
        <c:crossBetween val="midCat"/>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dbl"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Gross Revenue</a:t>
            </a:r>
            <a:r>
              <a:rPr lang="en-IN" b="1" baseline="0"/>
              <a:t> by Region - 2019</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stacked"/>
        <c:varyColors val="0"/>
        <c:ser>
          <c:idx val="0"/>
          <c:order val="0"/>
          <c:tx>
            <c:strRef>
              <c:f>'Types of Charts'!$H$896</c:f>
              <c:strCache>
                <c:ptCount val="1"/>
                <c:pt idx="0">
                  <c:v>Revenue</c:v>
                </c:pt>
              </c:strCache>
            </c:strRef>
          </c:tx>
          <c:spPr>
            <a:solidFill>
              <a:schemeClr val="accent1"/>
            </a:solidFill>
            <a:ln>
              <a:noFill/>
            </a:ln>
            <a:effectLst/>
          </c:spPr>
          <c:invertIfNegative val="0"/>
          <c:dLbls>
            <c:dLbl>
              <c:idx val="0"/>
              <c:tx>
                <c:rich>
                  <a:bodyPr/>
                  <a:lstStyle/>
                  <a:p>
                    <a:fld id="{6EB9617D-0FDA-4C72-B724-6F9F83D5EB5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9D4E-4616-8840-1EF24AA06475}"/>
                </c:ext>
              </c:extLst>
            </c:dLbl>
            <c:dLbl>
              <c:idx val="1"/>
              <c:tx>
                <c:rich>
                  <a:bodyPr/>
                  <a:lstStyle/>
                  <a:p>
                    <a:fld id="{865B03C7-45BB-47E7-B118-EC8D749CA758}"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D4E-4616-8840-1EF24AA06475}"/>
                </c:ext>
              </c:extLst>
            </c:dLbl>
            <c:dLbl>
              <c:idx val="2"/>
              <c:tx>
                <c:rich>
                  <a:bodyPr/>
                  <a:lstStyle/>
                  <a:p>
                    <a:fld id="{E3E186C0-3556-42EE-84AE-CFC658BCBFE1}"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D4E-4616-8840-1EF24AA06475}"/>
                </c:ext>
              </c:extLst>
            </c:dLbl>
            <c:dLbl>
              <c:idx val="3"/>
              <c:tx>
                <c:rich>
                  <a:bodyPr/>
                  <a:lstStyle/>
                  <a:p>
                    <a:fld id="{68A04BA4-577F-471F-9AE6-8858E2EEC13A}"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D4E-4616-8840-1EF24AA0647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'Types of Charts'!$F$897:$F$900</c:f>
              <c:strCache>
                <c:ptCount val="4"/>
                <c:pt idx="0">
                  <c:v>Americas</c:v>
                </c:pt>
                <c:pt idx="1">
                  <c:v>Europe</c:v>
                </c:pt>
                <c:pt idx="2">
                  <c:v>Africa</c:v>
                </c:pt>
                <c:pt idx="3">
                  <c:v>Asia</c:v>
                </c:pt>
              </c:strCache>
            </c:strRef>
          </c:cat>
          <c:val>
            <c:numRef>
              <c:f>'Types of Charts'!$H$897:$H$900</c:f>
              <c:numCache>
                <c:formatCode>_ * #,##0_ ;_ * \-#,##0_ ;_ * "-"??_ ;_ @_ </c:formatCode>
                <c:ptCount val="4"/>
                <c:pt idx="0">
                  <c:v>10000000</c:v>
                </c:pt>
                <c:pt idx="1">
                  <c:v>5250000</c:v>
                </c:pt>
                <c:pt idx="2">
                  <c:v>7300000</c:v>
                </c:pt>
                <c:pt idx="3">
                  <c:v>4900000</c:v>
                </c:pt>
              </c:numCache>
            </c:numRef>
          </c:val>
          <c:extLst>
            <c:ext xmlns:c15="http://schemas.microsoft.com/office/drawing/2012/chart" uri="{02D57815-91ED-43cb-92C2-25804820EDAC}">
              <c15:datalabelsRange>
                <c15:f>'Types of Charts'!$J$897:$J$900</c15:f>
                <c15:dlblRangeCache>
                  <c:ptCount val="4"/>
                  <c:pt idx="0">
                    <c:v>87%</c:v>
                  </c:pt>
                  <c:pt idx="1">
                    <c:v>53%</c:v>
                  </c:pt>
                  <c:pt idx="2">
                    <c:v>77%</c:v>
                  </c:pt>
                  <c:pt idx="3">
                    <c:v>58%</c:v>
                  </c:pt>
                </c15:dlblRangeCache>
              </c15:datalabelsRange>
            </c:ext>
            <c:ext xmlns:c16="http://schemas.microsoft.com/office/drawing/2014/chart" uri="{C3380CC4-5D6E-409C-BE32-E72D297353CC}">
              <c16:uniqueId val="{00000004-9D4E-4616-8840-1EF24AA06475}"/>
            </c:ext>
          </c:extLst>
        </c:ser>
        <c:ser>
          <c:idx val="1"/>
          <c:order val="1"/>
          <c:tx>
            <c:strRef>
              <c:f>'Types of Charts'!$I$896</c:f>
              <c:strCache>
                <c:ptCount val="1"/>
                <c:pt idx="0">
                  <c:v>Remainder</c:v>
                </c:pt>
              </c:strCache>
            </c:strRef>
          </c:tx>
          <c:spPr>
            <a:solidFill>
              <a:schemeClr val="accent2"/>
            </a:solidFill>
            <a:ln>
              <a:noFill/>
            </a:ln>
            <a:effectLst/>
          </c:spPr>
          <c:invertIfNegative val="0"/>
          <c:dLbls>
            <c:dLbl>
              <c:idx val="0"/>
              <c:tx>
                <c:rich>
                  <a:bodyPr/>
                  <a:lstStyle/>
                  <a:p>
                    <a:fld id="{420BDE0A-9B80-4AC0-AA19-B4D2A07BDBB1}"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9D4E-4616-8840-1EF24AA06475}"/>
                </c:ext>
              </c:extLst>
            </c:dLbl>
            <c:dLbl>
              <c:idx val="1"/>
              <c:tx>
                <c:rich>
                  <a:bodyPr/>
                  <a:lstStyle/>
                  <a:p>
                    <a:fld id="{DB242C79-5598-4902-ACC7-5FF61B8F2071}"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D4E-4616-8840-1EF24AA06475}"/>
                </c:ext>
              </c:extLst>
            </c:dLbl>
            <c:dLbl>
              <c:idx val="2"/>
              <c:tx>
                <c:rich>
                  <a:bodyPr/>
                  <a:lstStyle/>
                  <a:p>
                    <a:fld id="{6A3D42DE-8DEA-4930-BDF8-3C41EE03F3B8}"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D4E-4616-8840-1EF24AA06475}"/>
                </c:ext>
              </c:extLst>
            </c:dLbl>
            <c:dLbl>
              <c:idx val="3"/>
              <c:tx>
                <c:rich>
                  <a:bodyPr/>
                  <a:lstStyle/>
                  <a:p>
                    <a:fld id="{85A84BC0-626F-42DC-80C7-09D80B18AD85}"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D4E-4616-8840-1EF24AA064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'Types of Charts'!$F$897:$F$900</c:f>
              <c:strCache>
                <c:ptCount val="4"/>
                <c:pt idx="0">
                  <c:v>Americas</c:v>
                </c:pt>
                <c:pt idx="1">
                  <c:v>Europe</c:v>
                </c:pt>
                <c:pt idx="2">
                  <c:v>Africa</c:v>
                </c:pt>
                <c:pt idx="3">
                  <c:v>Asia</c:v>
                </c:pt>
              </c:strCache>
            </c:strRef>
          </c:cat>
          <c:val>
            <c:numRef>
              <c:f>'Types of Charts'!$I$897:$I$900</c:f>
              <c:numCache>
                <c:formatCode>_ * #,##0_ ;_ * \-#,##0_ ;_ * "-"??_ ;_ @_ </c:formatCode>
                <c:ptCount val="4"/>
                <c:pt idx="0">
                  <c:v>1500000</c:v>
                </c:pt>
                <c:pt idx="1">
                  <c:v>4750000</c:v>
                </c:pt>
                <c:pt idx="2">
                  <c:v>2200000</c:v>
                </c:pt>
                <c:pt idx="3">
                  <c:v>3600000</c:v>
                </c:pt>
              </c:numCache>
            </c:numRef>
          </c:val>
          <c:extLst>
            <c:ext xmlns:c15="http://schemas.microsoft.com/office/drawing/2012/chart" uri="{02D57815-91ED-43cb-92C2-25804820EDAC}">
              <c15:datalabelsRange>
                <c15:f>'Types of Charts'!$K$897:$K$900</c15:f>
                <c15:dlblRangeCache>
                  <c:ptCount val="4"/>
                  <c:pt idx="0">
                    <c:v>13%</c:v>
                  </c:pt>
                  <c:pt idx="1">
                    <c:v>48%</c:v>
                  </c:pt>
                  <c:pt idx="2">
                    <c:v>23%</c:v>
                  </c:pt>
                  <c:pt idx="3">
                    <c:v>42%</c:v>
                  </c:pt>
                </c15:dlblRangeCache>
              </c15:datalabelsRange>
            </c:ext>
            <c:ext xmlns:c16="http://schemas.microsoft.com/office/drawing/2014/chart" uri="{C3380CC4-5D6E-409C-BE32-E72D297353CC}">
              <c16:uniqueId val="{00000009-9D4E-4616-8840-1EF24AA06475}"/>
            </c:ext>
          </c:extLst>
        </c:ser>
        <c:dLbls>
          <c:showLegendKey val="0"/>
          <c:showVal val="0"/>
          <c:showCatName val="0"/>
          <c:showSerName val="0"/>
          <c:showPercent val="0"/>
          <c:showBubbleSize val="0"/>
        </c:dLbls>
        <c:gapWidth val="150"/>
        <c:overlap val="100"/>
        <c:axId val="91733023"/>
        <c:axId val="91743423"/>
      </c:barChart>
      <c:catAx>
        <c:axId val="91733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43423"/>
        <c:crosses val="autoZero"/>
        <c:auto val="1"/>
        <c:lblAlgn val="ctr"/>
        <c:lblOffset val="100"/>
        <c:noMultiLvlLbl val="0"/>
      </c:catAx>
      <c:valAx>
        <c:axId val="9174342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330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Gross Revenue in Americas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doughnutChart>
        <c:varyColors val="1"/>
        <c:ser>
          <c:idx val="0"/>
          <c:order val="0"/>
          <c:tx>
            <c:strRef>
              <c:f>'Types of Charts'!$F$897</c:f>
              <c:strCache>
                <c:ptCount val="1"/>
                <c:pt idx="0">
                  <c:v>Americas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135-4E47-8C2D-5F594899B4D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135-4E47-8C2D-5F594899B4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'Types of Charts'!$J$896:$K$896</c:f>
              <c:strCache>
                <c:ptCount val="2"/>
                <c:pt idx="0">
                  <c:v>Progress</c:v>
                </c:pt>
                <c:pt idx="1">
                  <c:v>Percentage Remaining</c:v>
                </c:pt>
              </c:strCache>
            </c:strRef>
          </c:cat>
          <c:val>
            <c:numRef>
              <c:f>'Types of Charts'!$J$897:$K$897</c:f>
              <c:numCache>
                <c:formatCode>0%</c:formatCode>
                <c:ptCount val="2"/>
                <c:pt idx="0">
                  <c:v>0.86956521739130432</c:v>
                </c:pt>
                <c:pt idx="1">
                  <c:v>0.13043478260869568</c:v>
                </c:pt>
              </c:numCache>
            </c:numRef>
          </c:val>
          <c:extLst>
            <c:ext xmlns:c16="http://schemas.microsoft.com/office/drawing/2014/chart" uri="{C3380CC4-5D6E-409C-BE32-E72D297353CC}">
              <c16:uniqueId val="{00000004-A135-4E47-8C2D-5F594899B4D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Gross Revenue in Europe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'Types of Charts'!$F$898</c:f>
              <c:strCache>
                <c:ptCount val="1"/>
                <c:pt idx="0">
                  <c:v>Europe</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1B8-44AE-B1B1-B67C089ACAC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1B8-44AE-B1B1-B67C089ACAC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'Types of Charts'!$J$896:$K$896</c:f>
              <c:strCache>
                <c:ptCount val="2"/>
                <c:pt idx="0">
                  <c:v>Progress</c:v>
                </c:pt>
                <c:pt idx="1">
                  <c:v>Percentage Remaining</c:v>
                </c:pt>
              </c:strCache>
            </c:strRef>
          </c:cat>
          <c:val>
            <c:numRef>
              <c:f>'Types of Charts'!$J$898:$K$898</c:f>
              <c:numCache>
                <c:formatCode>0%</c:formatCode>
                <c:ptCount val="2"/>
                <c:pt idx="0">
                  <c:v>0.52500000000000002</c:v>
                </c:pt>
                <c:pt idx="1">
                  <c:v>0.47499999999999998</c:v>
                </c:pt>
              </c:numCache>
            </c:numRef>
          </c:val>
          <c:extLst>
            <c:ext xmlns:c16="http://schemas.microsoft.com/office/drawing/2014/chart" uri="{C3380CC4-5D6E-409C-BE32-E72D297353CC}">
              <c16:uniqueId val="{00000004-A1B8-44AE-B1B1-B67C089ACAC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tx>
        <cx:txData>
          <cx:v>Quaterly Net Cash Flow</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Quaterly Net Cash Flow</a:t>
          </a:r>
        </a:p>
      </cx:txPr>
    </cx:title>
    <cx:plotArea>
      <cx:plotAreaRegion>
        <cx:series layoutId="waterfall" uniqueId="{5A23647D-2E47-49A8-BF39-8329A8FA43B9}">
          <cx:tx>
            <cx:txData>
              <cx:f>_xlchart.v1.7</cx:f>
              <cx:v>Net Cash Flow</cx:v>
            </cx:txData>
          </cx:tx>
          <cx:dataLabels pos="outEnd">
            <cx:visibility seriesName="0" categoryName="0" value="1"/>
          </cx:dataLabels>
          <cx:dataId val="0"/>
          <cx:layoutPr>
            <cx:visibility connectorLines="0"/>
            <cx:subtotals/>
          </cx:layoutPr>
        </cx:series>
      </cx:plotAreaRegion>
      <cx:axis id="0">
        <cx:catScaling gapWidth="0.25"/>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Recruitment Funnel</cx:v>
        </cx:txData>
      </cx:tx>
      <cx:txPr>
        <a:bodyPr spcFirstLastPara="1" vertOverflow="ellipsis" horzOverflow="overflow" wrap="square" lIns="0" tIns="0" rIns="0" bIns="0" anchor="ctr" anchorCtr="1"/>
        <a:lstStyle/>
        <a:p>
          <a:pPr algn="ctr" rtl="0">
            <a:defRPr/>
          </a:pPr>
          <a:r>
            <a:rPr lang="en-US" sz="2400" b="1" i="0" u="none" strike="noStrike" baseline="0">
              <a:solidFill>
                <a:sysClr val="windowText" lastClr="000000">
                  <a:lumMod val="65000"/>
                  <a:lumOff val="35000"/>
                </a:sysClr>
              </a:solidFill>
              <a:latin typeface="Calibri" panose="020F0502020204030204"/>
            </a:rPr>
            <a:t>Recruitment Funnel</a:t>
          </a:r>
        </a:p>
      </cx:txPr>
    </cx:title>
    <cx:plotArea>
      <cx:plotAreaRegion>
        <cx:series layoutId="funnel" uniqueId="{B4087FCD-79B9-451D-A23B-37BBB902F53C}">
          <cx:tx>
            <cx:txData>
              <cx:f>_xlchart.v2.1</cx:f>
              <cx:v>Headcount</cx:v>
            </cx:txData>
          </cx:tx>
          <cx:data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visibility seriesName="0" categoryName="0" value="1"/>
            <cx:separator>, </cx:separator>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3E3450EC-03AF-49E6-815E-8759A8FC11ED}">
          <cx:tx>
            <cx:txData>
              <cx:f>_xlchart.v1.4</cx:f>
              <cx:v>%age</cx:v>
            </cx:txData>
          </cx:tx>
          <cx:dataLabels pos="inEnd">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97">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418">
  <cs:axisTitle>
    <cs:lnRef idx="0"/>
    <cs:fillRef idx="0"/>
    <cs:effectRef idx="0"/>
    <cs:fontRef idx="minor">
      <a:schemeClr val="tx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bodyPr lIns="38100" tIns="19050" rIns="38100" bIns="19050">
      <a:spAutoFit/>
    </cs:bodyPr>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9525">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ln w="9525">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hyperlink" Target="#Summary!A1"/></Relationships>
</file>

<file path=xl/drawings/_rels/drawing2.xml.rels><?xml version="1.0" encoding="UTF-8" standalone="yes"?>
<Relationships xmlns="http://schemas.openxmlformats.org/package/2006/relationships"><Relationship Id="rId1" Type="http://schemas.openxmlformats.org/officeDocument/2006/relationships/hyperlink" Target="#Summary!A1"/></Relationships>
</file>

<file path=xl/drawings/_rels/drawing3.xml.rels><?xml version="1.0" encoding="UTF-8" standalone="yes"?>
<Relationships xmlns="http://schemas.openxmlformats.org/package/2006/relationships"><Relationship Id="rId1" Type="http://schemas.openxmlformats.org/officeDocument/2006/relationships/hyperlink" Target="#Summary!A1"/></Relationships>
</file>

<file path=xl/drawings/_rels/drawing4.xml.rels><?xml version="1.0" encoding="UTF-8" standalone="yes"?>
<Relationships xmlns="http://schemas.openxmlformats.org/package/2006/relationships"><Relationship Id="rId1" Type="http://schemas.openxmlformats.org/officeDocument/2006/relationships/hyperlink" Target="#Summary!A1"/></Relationships>
</file>

<file path=xl/drawings/_rels/drawing5.xml.rels><?xml version="1.0" encoding="UTF-8" standalone="yes"?>
<Relationships xmlns="http://schemas.openxmlformats.org/package/2006/relationships"><Relationship Id="rId1" Type="http://schemas.openxmlformats.org/officeDocument/2006/relationships/hyperlink" Target="#Summary!A1"/></Relationships>
</file>

<file path=xl/drawings/_rels/drawing6.xml.rels><?xml version="1.0" encoding="UTF-8" standalone="yes"?>
<Relationships xmlns="http://schemas.openxmlformats.org/package/2006/relationships"><Relationship Id="rId1" Type="http://schemas.openxmlformats.org/officeDocument/2006/relationships/hyperlink" Target="#Summary!A1"/></Relationships>
</file>

<file path=xl/drawings/_rels/drawing7.xml.rels><?xml version="1.0" encoding="UTF-8" standalone="yes"?>
<Relationships xmlns="http://schemas.openxmlformats.org/package/2006/relationships"><Relationship Id="rId1" Type="http://schemas.openxmlformats.org/officeDocument/2006/relationships/hyperlink" Target="#Summary!A1"/></Relationships>
</file>

<file path=xl/drawings/_rels/drawing8.xml.rels><?xml version="1.0" encoding="UTF-8" standalone="yes"?>
<Relationships xmlns="http://schemas.openxmlformats.org/package/2006/relationships"><Relationship Id="rId1" Type="http://schemas.openxmlformats.org/officeDocument/2006/relationships/hyperlink" Target="#Summary!A1"/></Relationships>
</file>

<file path=xl/drawings/_rels/drawing9.xml.rels><?xml version="1.0" encoding="UTF-8" standalone="yes"?>
<Relationships xmlns="http://schemas.openxmlformats.org/package/2006/relationships"><Relationship Id="rId1" Type="http://schemas.openxmlformats.org/officeDocument/2006/relationships/hyperlink" Target="#Summary!A1"/></Relationships>
</file>

<file path=xl/drawings/_rels/drawing10.xml.rels><?xml version="1.0" encoding="UTF-8" standalone="yes"?>
<Relationships xmlns="http://schemas.openxmlformats.org/package/2006/relationships"><Relationship Id="rId1" Type="http://schemas.openxmlformats.org/officeDocument/2006/relationships/hyperlink" Target="#Summary!A1"/></Relationships>
</file>

<file path=xl/drawings/_rels/drawing11.xml.rels><?xml version="1.0" encoding="UTF-8" standalone="yes"?>
<Relationships xmlns="http://schemas.openxmlformats.org/package/2006/relationships"><Relationship Id="rId1" Type="http://schemas.openxmlformats.org/officeDocument/2006/relationships/hyperlink" Target="#Summary!A1"/></Relationships>
</file>

<file path=xl/drawings/_rels/drawing12.xml.rels><?xml version="1.0" encoding="UTF-8" standalone="yes"?>
<Relationships xmlns="http://schemas.openxmlformats.org/package/2006/relationships"><Relationship Id="rId1" Type="http://schemas.openxmlformats.org/officeDocument/2006/relationships/hyperlink" Target="#Summary!A1"/></Relationships>
</file>

<file path=xl/drawings/_rels/drawing13.xml.rels><?xml version="1.0" encoding="UTF-8" standalone="yes"?>
<Relationships xmlns="http://schemas.openxmlformats.org/package/2006/relationships"><Relationship Id="rId1" Type="http://schemas.openxmlformats.org/officeDocument/2006/relationships/hyperlink" Target="#Summary!A1"/></Relationships>
</file>

<file path=xl/drawings/_rels/drawing14.xml.rels><?xml version="1.0" encoding="UTF-8" standalone="yes"?>
<Relationships xmlns="http://schemas.openxmlformats.org/package/2006/relationships"><Relationship Id="rId1" Type="http://schemas.openxmlformats.org/officeDocument/2006/relationships/hyperlink" Target="#Summary!A1"/></Relationships>
</file>

<file path=xl/drawings/_rels/drawing15.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microsoft.com/office/2014/relationships/chartEx" Target="../charts/chartEx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hyperlink" Target="#Summary!A1"/><Relationship Id="rId5" Type="http://schemas.openxmlformats.org/officeDocument/2006/relationships/chart" Target="../charts/chart5.xml"/><Relationship Id="rId15" Type="http://schemas.openxmlformats.org/officeDocument/2006/relationships/chart" Target="../charts/chart15.xml"/><Relationship Id="rId23" Type="http://schemas.microsoft.com/office/2014/relationships/chartEx" Target="../charts/chartEx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microsoft.com/office/2014/relationships/chartEx" Target="../charts/chartEx2.xml"/></Relationships>
</file>

<file path=xl/drawings/_rels/drawing16.xml.rels><?xml version="1.0" encoding="UTF-8" standalone="yes"?>
<Relationships xmlns="http://schemas.openxmlformats.org/package/2006/relationships"><Relationship Id="rId1" Type="http://schemas.openxmlformats.org/officeDocument/2006/relationships/hyperlink" Target="#Summary!A1"/></Relationships>
</file>

<file path=xl/drawings/_rels/drawing17.xml.rels><?xml version="1.0" encoding="UTF-8" standalone="yes"?>
<Relationships xmlns="http://schemas.openxmlformats.org/package/2006/relationships"><Relationship Id="rId1" Type="http://schemas.openxmlformats.org/officeDocument/2006/relationships/hyperlink" Target="#Summary!A1"/></Relationships>
</file>

<file path=xl/drawings/_rels/drawing18.xml.rels><?xml version="1.0" encoding="UTF-8" standalone="yes"?>
<Relationships xmlns="http://schemas.openxmlformats.org/package/2006/relationships"><Relationship Id="rId1" Type="http://schemas.openxmlformats.org/officeDocument/2006/relationships/hyperlink" Target="#Summary!A1"/></Relationships>
</file>

<file path=xl/drawings/_rels/drawing19.xml.rels><?xml version="1.0" encoding="UTF-8" standalone="yes"?>
<Relationships xmlns="http://schemas.openxmlformats.org/package/2006/relationships"><Relationship Id="rId1" Type="http://schemas.openxmlformats.org/officeDocument/2006/relationships/hyperlink" Target="#Summary!A1"/></Relationships>
</file>

<file path=xl/drawings/_rels/drawing20.xml.rels><?xml version="1.0" encoding="UTF-8" standalone="yes"?>
<Relationships xmlns="http://schemas.openxmlformats.org/package/2006/relationships"><Relationship Id="rId1" Type="http://schemas.openxmlformats.org/officeDocument/2006/relationships/hyperlink" Target="#Summary!A1"/></Relationships>
</file>

<file path=xl/drawings/_rels/drawing2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hyperlink" Target="#Summary!A1"/><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0</xdr:colOff>
      <xdr:row>1</xdr:row>
      <xdr:rowOff>0</xdr:rowOff>
    </xdr:from>
    <xdr:to>
      <xdr:col>3</xdr:col>
      <xdr:colOff>67701</xdr:colOff>
      <xdr:row>3</xdr:row>
      <xdr:rowOff>112644</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B8FEFFBC-10D6-4B89-B611-BDDA7806C242}"/>
            </a:ext>
          </a:extLst>
        </xdr:cNvPr>
        <xdr:cNvSpPr/>
      </xdr:nvSpPr>
      <xdr:spPr>
        <a:xfrm>
          <a:off x="13988676" y="270809"/>
          <a:ext cx="674687" cy="486173"/>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BACK</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116048</xdr:colOff>
      <xdr:row>1</xdr:row>
      <xdr:rowOff>2939</xdr:rowOff>
    </xdr:from>
    <xdr:to>
      <xdr:col>7</xdr:col>
      <xdr:colOff>814192</xdr:colOff>
      <xdr:row>1</xdr:row>
      <xdr:rowOff>271397</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52ACC6DE-DFAD-4FE3-BC0D-AEEE53472642}"/>
            </a:ext>
          </a:extLst>
        </xdr:cNvPr>
        <xdr:cNvSpPr/>
      </xdr:nvSpPr>
      <xdr:spPr>
        <a:xfrm>
          <a:off x="4947128" y="109619"/>
          <a:ext cx="698144" cy="2684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xdr:row>
      <xdr:rowOff>0</xdr:rowOff>
    </xdr:from>
    <xdr:to>
      <xdr:col>3</xdr:col>
      <xdr:colOff>67701</xdr:colOff>
      <xdr:row>3</xdr:row>
      <xdr:rowOff>158750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B8B87D19-1FAB-47EE-810F-700573B17CB3}"/>
            </a:ext>
          </a:extLst>
        </xdr:cNvPr>
        <xdr:cNvSpPr/>
      </xdr:nvSpPr>
      <xdr:spPr>
        <a:xfrm>
          <a:off x="13988676" y="270809"/>
          <a:ext cx="674687" cy="53227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BACK</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1</xdr:row>
      <xdr:rowOff>0</xdr:rowOff>
    </xdr:from>
    <xdr:to>
      <xdr:col>8</xdr:col>
      <xdr:colOff>65430</xdr:colOff>
      <xdr:row>3</xdr:row>
      <xdr:rowOff>91443</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4BBB8ECB-7E5F-4124-9FB6-EF0363F7A53D}"/>
            </a:ext>
          </a:extLst>
        </xdr:cNvPr>
        <xdr:cNvSpPr/>
      </xdr:nvSpPr>
      <xdr:spPr>
        <a:xfrm>
          <a:off x="8598243" y="188784"/>
          <a:ext cx="674687" cy="486173"/>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BACK</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1</xdr:row>
      <xdr:rowOff>0</xdr:rowOff>
    </xdr:from>
    <xdr:to>
      <xdr:col>3</xdr:col>
      <xdr:colOff>65783</xdr:colOff>
      <xdr:row>3</xdr:row>
      <xdr:rowOff>103434</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9DCD0968-365B-42FE-9F89-920D03757F7C}"/>
            </a:ext>
          </a:extLst>
        </xdr:cNvPr>
        <xdr:cNvSpPr/>
      </xdr:nvSpPr>
      <xdr:spPr>
        <a:xfrm>
          <a:off x="13169726" y="269658"/>
          <a:ext cx="674687" cy="486173"/>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BACK</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0</xdr:colOff>
      <xdr:row>1</xdr:row>
      <xdr:rowOff>0</xdr:rowOff>
    </xdr:from>
    <xdr:to>
      <xdr:col>11</xdr:col>
      <xdr:colOff>65430</xdr:colOff>
      <xdr:row>3</xdr:row>
      <xdr:rowOff>91443</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094F4178-3FD5-4725-8AA0-C3CAA6014483}"/>
            </a:ext>
          </a:extLst>
        </xdr:cNvPr>
        <xdr:cNvSpPr/>
      </xdr:nvSpPr>
      <xdr:spPr>
        <a:xfrm>
          <a:off x="6358581" y="188784"/>
          <a:ext cx="674687" cy="486173"/>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BACK</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1</xdr:row>
      <xdr:rowOff>0</xdr:rowOff>
    </xdr:from>
    <xdr:to>
      <xdr:col>3</xdr:col>
      <xdr:colOff>65783</xdr:colOff>
      <xdr:row>3</xdr:row>
      <xdr:rowOff>112132</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45C7DFDB-9B4E-4F79-B22E-DAD0D7FBBBC5}"/>
            </a:ext>
          </a:extLst>
        </xdr:cNvPr>
        <xdr:cNvSpPr/>
      </xdr:nvSpPr>
      <xdr:spPr>
        <a:xfrm>
          <a:off x="13169726" y="269658"/>
          <a:ext cx="674687" cy="486173"/>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BACK</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48228</xdr:colOff>
      <xdr:row>0</xdr:row>
      <xdr:rowOff>24114</xdr:rowOff>
    </xdr:from>
    <xdr:to>
      <xdr:col>9</xdr:col>
      <xdr:colOff>424137</xdr:colOff>
      <xdr:row>1</xdr:row>
      <xdr:rowOff>168797</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F91F3D5C-D38C-4CC8-97F9-4444F1465AD2}"/>
            </a:ext>
          </a:extLst>
        </xdr:cNvPr>
        <xdr:cNvSpPr/>
      </xdr:nvSpPr>
      <xdr:spPr>
        <a:xfrm>
          <a:off x="6807168" y="24114"/>
          <a:ext cx="375909" cy="213263"/>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1</xdr:row>
      <xdr:rowOff>0</xdr:rowOff>
    </xdr:from>
    <xdr:to>
      <xdr:col>3</xdr:col>
      <xdr:colOff>65783</xdr:colOff>
      <xdr:row>3</xdr:row>
      <xdr:rowOff>112132</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AA49F0DD-AE3C-4D66-A4BE-C86BF8DA002C}"/>
            </a:ext>
          </a:extLst>
        </xdr:cNvPr>
        <xdr:cNvSpPr/>
      </xdr:nvSpPr>
      <xdr:spPr>
        <a:xfrm>
          <a:off x="13169726" y="269658"/>
          <a:ext cx="674687" cy="486173"/>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BACK</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0</xdr:colOff>
      <xdr:row>1</xdr:row>
      <xdr:rowOff>0</xdr:rowOff>
    </xdr:from>
    <xdr:to>
      <xdr:col>13</xdr:col>
      <xdr:colOff>65430</xdr:colOff>
      <xdr:row>3</xdr:row>
      <xdr:rowOff>125768</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4B884F3A-70E3-483D-B28D-2699FE1DE3F9}"/>
            </a:ext>
          </a:extLst>
        </xdr:cNvPr>
        <xdr:cNvSpPr/>
      </xdr:nvSpPr>
      <xdr:spPr>
        <a:xfrm>
          <a:off x="8615405" y="180203"/>
          <a:ext cx="674687" cy="486173"/>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BACK</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13</xdr:col>
      <xdr:colOff>0</xdr:colOff>
      <xdr:row>1</xdr:row>
      <xdr:rowOff>0</xdr:rowOff>
    </xdr:from>
    <xdr:to>
      <xdr:col>14</xdr:col>
      <xdr:colOff>65430</xdr:colOff>
      <xdr:row>2</xdr:row>
      <xdr:rowOff>117187</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A5536F7F-C3AB-48D6-948E-2F1CBF4357A1}"/>
            </a:ext>
          </a:extLst>
        </xdr:cNvPr>
        <xdr:cNvSpPr/>
      </xdr:nvSpPr>
      <xdr:spPr>
        <a:xfrm>
          <a:off x="13558108" y="188784"/>
          <a:ext cx="674687" cy="486173"/>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BACK</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9</xdr:col>
      <xdr:colOff>912813</xdr:colOff>
      <xdr:row>0</xdr:row>
      <xdr:rowOff>79375</xdr:rowOff>
    </xdr:from>
    <xdr:to>
      <xdr:col>9</xdr:col>
      <xdr:colOff>1587500</xdr:colOff>
      <xdr:row>2</xdr:row>
      <xdr:rowOff>109142</xdr:rowOff>
    </xdr:to>
    <xdr:sp macro="" textlink="">
      <xdr:nvSpPr>
        <xdr:cNvPr id="4" name="Arrow: Left 3">
          <a:hlinkClick xmlns:r="http://schemas.openxmlformats.org/officeDocument/2006/relationships" r:id="rId1"/>
          <a:extLst>
            <a:ext uri="{FF2B5EF4-FFF2-40B4-BE49-F238E27FC236}">
              <a16:creationId xmlns:a16="http://schemas.microsoft.com/office/drawing/2014/main" id="{C5D5B900-2ED7-436A-B8C4-B7C10F3D47A7}"/>
            </a:ext>
          </a:extLst>
        </xdr:cNvPr>
        <xdr:cNvSpPr/>
      </xdr:nvSpPr>
      <xdr:spPr>
        <a:xfrm>
          <a:off x="10844610" y="79375"/>
          <a:ext cx="674687" cy="486173"/>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BACK</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xdr:row>
      <xdr:rowOff>0</xdr:rowOff>
    </xdr:from>
    <xdr:to>
      <xdr:col>3</xdr:col>
      <xdr:colOff>66518</xdr:colOff>
      <xdr:row>3</xdr:row>
      <xdr:rowOff>101596</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68D3B52C-2FD8-4822-84C4-7C9664A6572D}"/>
            </a:ext>
          </a:extLst>
        </xdr:cNvPr>
        <xdr:cNvSpPr/>
      </xdr:nvSpPr>
      <xdr:spPr>
        <a:xfrm>
          <a:off x="12878873" y="268310"/>
          <a:ext cx="674687" cy="486173"/>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BACK</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12</xdr:col>
      <xdr:colOff>248852</xdr:colOff>
      <xdr:row>0</xdr:row>
      <xdr:rowOff>128716</xdr:rowOff>
    </xdr:from>
    <xdr:to>
      <xdr:col>13</xdr:col>
      <xdr:colOff>314282</xdr:colOff>
      <xdr:row>3</xdr:row>
      <xdr:rowOff>74281</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16AFD704-CCB2-4C60-9A2B-8D4942AA6CE2}"/>
            </a:ext>
          </a:extLst>
        </xdr:cNvPr>
        <xdr:cNvSpPr/>
      </xdr:nvSpPr>
      <xdr:spPr>
        <a:xfrm>
          <a:off x="8229257" y="128716"/>
          <a:ext cx="674687" cy="486173"/>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BACK</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11</xdr:col>
      <xdr:colOff>599280</xdr:colOff>
      <xdr:row>10</xdr:row>
      <xdr:rowOff>96837</xdr:rowOff>
    </xdr:from>
    <xdr:to>
      <xdr:col>19</xdr:col>
      <xdr:colOff>47626</xdr:colOff>
      <xdr:row>25</xdr:row>
      <xdr:rowOff>103189</xdr:rowOff>
    </xdr:to>
    <xdr:graphicFrame macro="">
      <xdr:nvGraphicFramePr>
        <xdr:cNvPr id="2" name="Chart 1">
          <a:extLst>
            <a:ext uri="{FF2B5EF4-FFF2-40B4-BE49-F238E27FC236}">
              <a16:creationId xmlns:a16="http://schemas.microsoft.com/office/drawing/2014/main" id="{507CF0AC-ADE9-4DC4-A6B3-DCF1CA9A3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589386</xdr:colOff>
      <xdr:row>10</xdr:row>
      <xdr:rowOff>105536</xdr:rowOff>
    </xdr:from>
    <xdr:to>
      <xdr:col>11</xdr:col>
      <xdr:colOff>224262</xdr:colOff>
      <xdr:row>25</xdr:row>
      <xdr:rowOff>110298</xdr:rowOff>
    </xdr:to>
    <xdr:graphicFrame macro="">
      <xdr:nvGraphicFramePr>
        <xdr:cNvPr id="3" name="Chart 2">
          <a:extLst>
            <a:ext uri="{FF2B5EF4-FFF2-40B4-BE49-F238E27FC236}">
              <a16:creationId xmlns:a16="http://schemas.microsoft.com/office/drawing/2014/main" id="{BFA6040B-A95F-4854-B9A0-BC07D7EFAA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107156</xdr:colOff>
      <xdr:row>34</xdr:row>
      <xdr:rowOff>168275</xdr:rowOff>
    </xdr:from>
    <xdr:to>
      <xdr:col>5</xdr:col>
      <xdr:colOff>369093</xdr:colOff>
      <xdr:row>49</xdr:row>
      <xdr:rowOff>173037</xdr:rowOff>
    </xdr:to>
    <xdr:graphicFrame macro="">
      <xdr:nvGraphicFramePr>
        <xdr:cNvPr id="4" name="Chart 3">
          <a:extLst>
            <a:ext uri="{FF2B5EF4-FFF2-40B4-BE49-F238E27FC236}">
              <a16:creationId xmlns:a16="http://schemas.microsoft.com/office/drawing/2014/main" id="{AA3186F9-CDE1-4C73-8F30-467869CC4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99218</xdr:colOff>
      <xdr:row>35</xdr:row>
      <xdr:rowOff>9525</xdr:rowOff>
    </xdr:from>
    <xdr:to>
      <xdr:col>11</xdr:col>
      <xdr:colOff>440530</xdr:colOff>
      <xdr:row>50</xdr:row>
      <xdr:rowOff>14288</xdr:rowOff>
    </xdr:to>
    <xdr:graphicFrame macro="">
      <xdr:nvGraphicFramePr>
        <xdr:cNvPr id="5" name="Chart 4">
          <a:extLst>
            <a:ext uri="{FF2B5EF4-FFF2-40B4-BE49-F238E27FC236}">
              <a16:creationId xmlns:a16="http://schemas.microsoft.com/office/drawing/2014/main" id="{41A135DE-D0AB-4388-9E03-B677BE37A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27780</xdr:colOff>
      <xdr:row>34</xdr:row>
      <xdr:rowOff>160337</xdr:rowOff>
    </xdr:from>
    <xdr:to>
      <xdr:col>19</xdr:col>
      <xdr:colOff>127000</xdr:colOff>
      <xdr:row>49</xdr:row>
      <xdr:rowOff>165099</xdr:rowOff>
    </xdr:to>
    <xdr:graphicFrame macro="">
      <xdr:nvGraphicFramePr>
        <xdr:cNvPr id="6" name="Chart 5">
          <a:extLst>
            <a:ext uri="{FF2B5EF4-FFF2-40B4-BE49-F238E27FC236}">
              <a16:creationId xmlns:a16="http://schemas.microsoft.com/office/drawing/2014/main" id="{125CFAE5-033B-4B29-A60F-F66F47268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147879</xdr:colOff>
      <xdr:row>51</xdr:row>
      <xdr:rowOff>173971</xdr:rowOff>
    </xdr:from>
    <xdr:to>
      <xdr:col>9</xdr:col>
      <xdr:colOff>687195</xdr:colOff>
      <xdr:row>784</xdr:row>
      <xdr:rowOff>34794</xdr:rowOff>
    </xdr:to>
    <xdr:graphicFrame macro="">
      <xdr:nvGraphicFramePr>
        <xdr:cNvPr id="7" name="Chart 6">
          <a:extLst>
            <a:ext uri="{FF2B5EF4-FFF2-40B4-BE49-F238E27FC236}">
              <a16:creationId xmlns:a16="http://schemas.microsoft.com/office/drawing/2014/main" id="{B780D838-55CB-4567-9331-F96BB4C65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167014</xdr:colOff>
      <xdr:row>51</xdr:row>
      <xdr:rowOff>172407</xdr:rowOff>
    </xdr:from>
    <xdr:to>
      <xdr:col>19</xdr:col>
      <xdr:colOff>207028</xdr:colOff>
      <xdr:row>117</xdr:row>
      <xdr:rowOff>104384</xdr:rowOff>
    </xdr:to>
    <xdr:graphicFrame macro="">
      <xdr:nvGraphicFramePr>
        <xdr:cNvPr id="8" name="Chart 7">
          <a:extLst>
            <a:ext uri="{FF2B5EF4-FFF2-40B4-BE49-F238E27FC236}">
              <a16:creationId xmlns:a16="http://schemas.microsoft.com/office/drawing/2014/main" id="{25D3CA9D-E48C-4FB3-9C62-EEBDD375D7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45234</xdr:colOff>
      <xdr:row>794</xdr:row>
      <xdr:rowOff>111516</xdr:rowOff>
    </xdr:from>
    <xdr:to>
      <xdr:col>5</xdr:col>
      <xdr:colOff>302713</xdr:colOff>
      <xdr:row>809</xdr:row>
      <xdr:rowOff>114647</xdr:rowOff>
    </xdr:to>
    <xdr:graphicFrame macro="">
      <xdr:nvGraphicFramePr>
        <xdr:cNvPr id="9" name="Chart 8">
          <a:extLst>
            <a:ext uri="{FF2B5EF4-FFF2-40B4-BE49-F238E27FC236}">
              <a16:creationId xmlns:a16="http://schemas.microsoft.com/office/drawing/2014/main" id="{6940C496-B5DA-4C6C-BBCF-F92370C1F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506261</xdr:colOff>
      <xdr:row>794</xdr:row>
      <xdr:rowOff>111516</xdr:rowOff>
    </xdr:from>
    <xdr:to>
      <xdr:col>11</xdr:col>
      <xdr:colOff>146138</xdr:colOff>
      <xdr:row>809</xdr:row>
      <xdr:rowOff>114647</xdr:rowOff>
    </xdr:to>
    <xdr:graphicFrame macro="">
      <xdr:nvGraphicFramePr>
        <xdr:cNvPr id="10" name="Chart 9">
          <a:extLst>
            <a:ext uri="{FF2B5EF4-FFF2-40B4-BE49-F238E27FC236}">
              <a16:creationId xmlns:a16="http://schemas.microsoft.com/office/drawing/2014/main" id="{481810EC-A4D4-45DD-BA39-76DC821A8D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323590</xdr:colOff>
      <xdr:row>794</xdr:row>
      <xdr:rowOff>111516</xdr:rowOff>
    </xdr:from>
    <xdr:to>
      <xdr:col>17</xdr:col>
      <xdr:colOff>128741</xdr:colOff>
      <xdr:row>809</xdr:row>
      <xdr:rowOff>114647</xdr:rowOff>
    </xdr:to>
    <xdr:graphicFrame macro="">
      <xdr:nvGraphicFramePr>
        <xdr:cNvPr id="11" name="Chart 10">
          <a:extLst>
            <a:ext uri="{FF2B5EF4-FFF2-40B4-BE49-F238E27FC236}">
              <a16:creationId xmlns:a16="http://schemas.microsoft.com/office/drawing/2014/main" id="{FDA4C088-3DB8-47E7-8FA4-CA0BCD5E1C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462768</xdr:colOff>
      <xdr:row>818</xdr:row>
      <xdr:rowOff>173972</xdr:rowOff>
    </xdr:from>
    <xdr:to>
      <xdr:col>7</xdr:col>
      <xdr:colOff>652398</xdr:colOff>
      <xdr:row>833</xdr:row>
      <xdr:rowOff>1566</xdr:rowOff>
    </xdr:to>
    <xdr:graphicFrame macro="">
      <xdr:nvGraphicFramePr>
        <xdr:cNvPr id="12" name="Chart 11">
          <a:extLst>
            <a:ext uri="{FF2B5EF4-FFF2-40B4-BE49-F238E27FC236}">
              <a16:creationId xmlns:a16="http://schemas.microsoft.com/office/drawing/2014/main" id="{D7BCF5EC-B671-40C4-ABCD-B5DDD7F69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19137</xdr:colOff>
      <xdr:row>851</xdr:row>
      <xdr:rowOff>172407</xdr:rowOff>
    </xdr:from>
    <xdr:to>
      <xdr:col>5</xdr:col>
      <xdr:colOff>276616</xdr:colOff>
      <xdr:row>866</xdr:row>
      <xdr:rowOff>175539</xdr:rowOff>
    </xdr:to>
    <xdr:graphicFrame macro="">
      <xdr:nvGraphicFramePr>
        <xdr:cNvPr id="13" name="Chart 12">
          <a:extLst>
            <a:ext uri="{FF2B5EF4-FFF2-40B4-BE49-F238E27FC236}">
              <a16:creationId xmlns:a16="http://schemas.microsoft.com/office/drawing/2014/main" id="{77459AB0-8D00-40F3-A444-CB4B6F3DE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410576</xdr:colOff>
      <xdr:row>852</xdr:row>
      <xdr:rowOff>7133</xdr:rowOff>
    </xdr:from>
    <xdr:to>
      <xdr:col>10</xdr:col>
      <xdr:colOff>1016001</xdr:colOff>
      <xdr:row>867</xdr:row>
      <xdr:rowOff>10264</xdr:rowOff>
    </xdr:to>
    <xdr:graphicFrame macro="">
      <xdr:nvGraphicFramePr>
        <xdr:cNvPr id="14" name="Chart 13">
          <a:extLst>
            <a:ext uri="{FF2B5EF4-FFF2-40B4-BE49-F238E27FC236}">
              <a16:creationId xmlns:a16="http://schemas.microsoft.com/office/drawing/2014/main" id="{D0545B8A-C5A3-4CB6-B7EB-2326924F8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97425</xdr:colOff>
      <xdr:row>852</xdr:row>
      <xdr:rowOff>15832</xdr:rowOff>
    </xdr:from>
    <xdr:to>
      <xdr:col>16</xdr:col>
      <xdr:colOff>511480</xdr:colOff>
      <xdr:row>867</xdr:row>
      <xdr:rowOff>18963</xdr:rowOff>
    </xdr:to>
    <xdr:graphicFrame macro="">
      <xdr:nvGraphicFramePr>
        <xdr:cNvPr id="15" name="Chart 14">
          <a:extLst>
            <a:ext uri="{FF2B5EF4-FFF2-40B4-BE49-F238E27FC236}">
              <a16:creationId xmlns:a16="http://schemas.microsoft.com/office/drawing/2014/main" id="{00F22AEC-6B5B-4CE9-88D7-DCB6FC7C8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347946</xdr:colOff>
      <xdr:row>818</xdr:row>
      <xdr:rowOff>165274</xdr:rowOff>
    </xdr:from>
    <xdr:to>
      <xdr:col>14</xdr:col>
      <xdr:colOff>302713</xdr:colOff>
      <xdr:row>832</xdr:row>
      <xdr:rowOff>175539</xdr:rowOff>
    </xdr:to>
    <xdr:graphicFrame macro="">
      <xdr:nvGraphicFramePr>
        <xdr:cNvPr id="16" name="Chart 15">
          <a:extLst>
            <a:ext uri="{FF2B5EF4-FFF2-40B4-BE49-F238E27FC236}">
              <a16:creationId xmlns:a16="http://schemas.microsoft.com/office/drawing/2014/main" id="{E8E0C9D9-8995-4B7A-A691-89C786A31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454069</xdr:colOff>
      <xdr:row>876</xdr:row>
      <xdr:rowOff>85421</xdr:rowOff>
    </xdr:from>
    <xdr:to>
      <xdr:col>10</xdr:col>
      <xdr:colOff>963809</xdr:colOff>
      <xdr:row>891</xdr:row>
      <xdr:rowOff>88553</xdr:rowOff>
    </xdr:to>
    <xdr:graphicFrame macro="">
      <xdr:nvGraphicFramePr>
        <xdr:cNvPr id="17" name="Chart 16">
          <a:extLst>
            <a:ext uri="{FF2B5EF4-FFF2-40B4-BE49-F238E27FC236}">
              <a16:creationId xmlns:a16="http://schemas.microsoft.com/office/drawing/2014/main" id="{3C5AC26C-19F2-4FD7-928D-B7B862D1A2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145267</xdr:colOff>
      <xdr:row>10</xdr:row>
      <xdr:rowOff>85421</xdr:rowOff>
    </xdr:from>
    <xdr:to>
      <xdr:col>5</xdr:col>
      <xdr:colOff>246171</xdr:colOff>
      <xdr:row>25</xdr:row>
      <xdr:rowOff>88553</xdr:rowOff>
    </xdr:to>
    <xdr:graphicFrame macro="">
      <xdr:nvGraphicFramePr>
        <xdr:cNvPr id="18" name="Chart 17">
          <a:extLst>
            <a:ext uri="{FF2B5EF4-FFF2-40B4-BE49-F238E27FC236}">
              <a16:creationId xmlns:a16="http://schemas.microsoft.com/office/drawing/2014/main" id="{BDCD09E0-047B-4903-8823-4C112A3F5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97425</xdr:colOff>
      <xdr:row>902</xdr:row>
      <xdr:rowOff>102818</xdr:rowOff>
    </xdr:from>
    <xdr:to>
      <xdr:col>7</xdr:col>
      <xdr:colOff>652398</xdr:colOff>
      <xdr:row>918</xdr:row>
      <xdr:rowOff>78288</xdr:rowOff>
    </xdr:to>
    <xdr:graphicFrame macro="">
      <xdr:nvGraphicFramePr>
        <xdr:cNvPr id="19" name="Chart 18">
          <a:extLst>
            <a:ext uri="{FF2B5EF4-FFF2-40B4-BE49-F238E27FC236}">
              <a16:creationId xmlns:a16="http://schemas.microsoft.com/office/drawing/2014/main" id="{C71E12AF-8B2C-494A-BB9D-B13255FA3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967289</xdr:colOff>
      <xdr:row>902</xdr:row>
      <xdr:rowOff>68023</xdr:rowOff>
    </xdr:from>
    <xdr:to>
      <xdr:col>12</xdr:col>
      <xdr:colOff>278356</xdr:colOff>
      <xdr:row>918</xdr:row>
      <xdr:rowOff>52192</xdr:rowOff>
    </xdr:to>
    <xdr:graphicFrame macro="">
      <xdr:nvGraphicFramePr>
        <xdr:cNvPr id="20" name="Chart 19">
          <a:extLst>
            <a:ext uri="{FF2B5EF4-FFF2-40B4-BE49-F238E27FC236}">
              <a16:creationId xmlns:a16="http://schemas.microsoft.com/office/drawing/2014/main" id="{1720E662-8283-4320-8AA7-ADB91CB76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513219</xdr:colOff>
      <xdr:row>902</xdr:row>
      <xdr:rowOff>60892</xdr:rowOff>
    </xdr:from>
    <xdr:to>
      <xdr:col>17</xdr:col>
      <xdr:colOff>33055</xdr:colOff>
      <xdr:row>918</xdr:row>
      <xdr:rowOff>45061</xdr:rowOff>
    </xdr:to>
    <xdr:graphicFrame macro="">
      <xdr:nvGraphicFramePr>
        <xdr:cNvPr id="21" name="Chart 20">
          <a:extLst>
            <a:ext uri="{FF2B5EF4-FFF2-40B4-BE49-F238E27FC236}">
              <a16:creationId xmlns:a16="http://schemas.microsoft.com/office/drawing/2014/main" id="{71496450-42E8-41EE-920D-756D6E1B8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xdr:col>
      <xdr:colOff>27835</xdr:colOff>
      <xdr:row>937</xdr:row>
      <xdr:rowOff>7131</xdr:rowOff>
    </xdr:from>
    <xdr:to>
      <xdr:col>12</xdr:col>
      <xdr:colOff>591507</xdr:colOff>
      <xdr:row>963</xdr:row>
      <xdr:rowOff>121780</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2935E51C-DCF4-42F6-8E7C-33675985F2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3350155" y="172478211"/>
              <a:ext cx="8778032" cy="486952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871603</xdr:colOff>
      <xdr:row>975</xdr:row>
      <xdr:rowOff>163708</xdr:rowOff>
    </xdr:from>
    <xdr:to>
      <xdr:col>11</xdr:col>
      <xdr:colOff>52192</xdr:colOff>
      <xdr:row>996</xdr:row>
      <xdr:rowOff>104384</xdr:rowOff>
    </xdr:to>
    <mc:AlternateContent xmlns:mc="http://schemas.openxmlformats.org/markup-compatibility/2006">
      <mc:Choice xmlns:cx2="http://schemas.microsoft.com/office/drawing/2015/10/21/chartex" Requires="cx2">
        <xdr:graphicFrame macro="">
          <xdr:nvGraphicFramePr>
            <xdr:cNvPr id="23" name="Chart 22">
              <a:extLst>
                <a:ext uri="{FF2B5EF4-FFF2-40B4-BE49-F238E27FC236}">
                  <a16:creationId xmlns:a16="http://schemas.microsoft.com/office/drawing/2014/main" id="{4C96A67F-8F42-4CEB-8002-364E29BA353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2"/>
            </a:graphicData>
          </a:graphic>
        </xdr:graphicFrame>
      </mc:Choice>
      <mc:Fallback>
        <xdr:sp macro="" textlink="">
          <xdr:nvSpPr>
            <xdr:cNvPr id="0" name=""/>
            <xdr:cNvSpPr>
              <a:spLocks noTextEdit="1"/>
            </xdr:cNvSpPr>
          </xdr:nvSpPr>
          <xdr:spPr>
            <a:xfrm>
              <a:off x="4193923" y="179713768"/>
              <a:ext cx="6724389" cy="378115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101957</xdr:colOff>
      <xdr:row>1010</xdr:row>
      <xdr:rowOff>99632</xdr:rowOff>
    </xdr:from>
    <xdr:to>
      <xdr:col>12</xdr:col>
      <xdr:colOff>8943</xdr:colOff>
      <xdr:row>1036</xdr:row>
      <xdr:rowOff>98380</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E9B88CAD-A156-4DD9-9D45-5394001C38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3"/>
            </a:graphicData>
          </a:graphic>
        </xdr:graphicFrame>
      </mc:Choice>
      <mc:Fallback>
        <xdr:sp macro="" textlink="">
          <xdr:nvSpPr>
            <xdr:cNvPr id="0" name=""/>
            <xdr:cNvSpPr>
              <a:spLocks noTextEdit="1"/>
            </xdr:cNvSpPr>
          </xdr:nvSpPr>
          <xdr:spPr>
            <a:xfrm>
              <a:off x="3424277" y="186210512"/>
              <a:ext cx="8121346" cy="475362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235185</xdr:colOff>
      <xdr:row>1</xdr:row>
      <xdr:rowOff>58796</xdr:rowOff>
    </xdr:from>
    <xdr:to>
      <xdr:col>17</xdr:col>
      <xdr:colOff>298390</xdr:colOff>
      <xdr:row>3</xdr:row>
      <xdr:rowOff>86358</xdr:rowOff>
    </xdr:to>
    <xdr:sp macro="" textlink="">
      <xdr:nvSpPr>
        <xdr:cNvPr id="25" name="Arrow: Left 24">
          <a:hlinkClick xmlns:r="http://schemas.openxmlformats.org/officeDocument/2006/relationships" r:id="rId24"/>
          <a:extLst>
            <a:ext uri="{FF2B5EF4-FFF2-40B4-BE49-F238E27FC236}">
              <a16:creationId xmlns:a16="http://schemas.microsoft.com/office/drawing/2014/main" id="{62AA6095-0FF4-43A9-9113-D0133A93A24E}"/>
            </a:ext>
          </a:extLst>
        </xdr:cNvPr>
        <xdr:cNvSpPr/>
      </xdr:nvSpPr>
      <xdr:spPr>
        <a:xfrm>
          <a:off x="15216481" y="152870"/>
          <a:ext cx="674687" cy="486173"/>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BACK</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15</xdr:col>
      <xdr:colOff>0</xdr:colOff>
      <xdr:row>1</xdr:row>
      <xdr:rowOff>0</xdr:rowOff>
    </xdr:from>
    <xdr:to>
      <xdr:col>16</xdr:col>
      <xdr:colOff>64753</xdr:colOff>
      <xdr:row>3</xdr:row>
      <xdr:rowOff>118542</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5ED18CE9-6189-4C25-AA16-092518595255}"/>
            </a:ext>
          </a:extLst>
        </xdr:cNvPr>
        <xdr:cNvSpPr/>
      </xdr:nvSpPr>
      <xdr:spPr>
        <a:xfrm>
          <a:off x="10845132" y="183816"/>
          <a:ext cx="674687" cy="486173"/>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BACK</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1</xdr:row>
      <xdr:rowOff>0</xdr:rowOff>
    </xdr:from>
    <xdr:to>
      <xdr:col>3</xdr:col>
      <xdr:colOff>65430</xdr:colOff>
      <xdr:row>3</xdr:row>
      <xdr:rowOff>100025</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00481DBA-1957-48BE-A0A4-305E86F3C40A}"/>
            </a:ext>
          </a:extLst>
        </xdr:cNvPr>
        <xdr:cNvSpPr/>
      </xdr:nvSpPr>
      <xdr:spPr>
        <a:xfrm>
          <a:off x="13781216" y="266014"/>
          <a:ext cx="674687" cy="486173"/>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BACK</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8</xdr:col>
      <xdr:colOff>0</xdr:colOff>
      <xdr:row>2</xdr:row>
      <xdr:rowOff>0</xdr:rowOff>
    </xdr:from>
    <xdr:to>
      <xdr:col>8</xdr:col>
      <xdr:colOff>674687</xdr:colOff>
      <xdr:row>4</xdr:row>
      <xdr:rowOff>95404</xdr:rowOff>
    </xdr:to>
    <xdr:sp macro="" textlink="">
      <xdr:nvSpPr>
        <xdr:cNvPr id="9" name="Arrow: Left 8">
          <a:hlinkClick xmlns:r="http://schemas.openxmlformats.org/officeDocument/2006/relationships" r:id="rId1"/>
          <a:extLst>
            <a:ext uri="{FF2B5EF4-FFF2-40B4-BE49-F238E27FC236}">
              <a16:creationId xmlns:a16="http://schemas.microsoft.com/office/drawing/2014/main" id="{8FB33CD9-19D4-4CCC-933E-336B73B261F1}"/>
            </a:ext>
          </a:extLst>
        </xdr:cNvPr>
        <xdr:cNvSpPr/>
      </xdr:nvSpPr>
      <xdr:spPr>
        <a:xfrm>
          <a:off x="7121769" y="283308"/>
          <a:ext cx="674687" cy="486173"/>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BACK</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1</xdr:row>
      <xdr:rowOff>0</xdr:rowOff>
    </xdr:from>
    <xdr:to>
      <xdr:col>7</xdr:col>
      <xdr:colOff>60853</xdr:colOff>
      <xdr:row>3</xdr:row>
      <xdr:rowOff>126340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C01E4611-ED8D-44DB-8099-4E50D7B48986}"/>
            </a:ext>
          </a:extLst>
        </xdr:cNvPr>
        <xdr:cNvSpPr/>
      </xdr:nvSpPr>
      <xdr:spPr>
        <a:xfrm>
          <a:off x="5281083" y="179917"/>
          <a:ext cx="674687" cy="486173"/>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BACK</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18955</xdr:colOff>
      <xdr:row>2</xdr:row>
      <xdr:rowOff>66345</xdr:rowOff>
    </xdr:from>
    <xdr:to>
      <xdr:col>2</xdr:col>
      <xdr:colOff>9477</xdr:colOff>
      <xdr:row>22</xdr:row>
      <xdr:rowOff>85300</xdr:rowOff>
    </xdr:to>
    <xdr:sp macro="" textlink="">
      <xdr:nvSpPr>
        <xdr:cNvPr id="2" name="Text Box 38">
          <a:extLst>
            <a:ext uri="{FF2B5EF4-FFF2-40B4-BE49-F238E27FC236}">
              <a16:creationId xmlns:a16="http://schemas.microsoft.com/office/drawing/2014/main" id="{CD3F196B-0585-45B3-9337-2F610131417C}"/>
            </a:ext>
          </a:extLst>
        </xdr:cNvPr>
        <xdr:cNvSpPr txBox="1">
          <a:spLocks noChangeArrowheads="1"/>
        </xdr:cNvSpPr>
      </xdr:nvSpPr>
      <xdr:spPr bwMode="auto">
        <a:xfrm>
          <a:off x="145955" y="447345"/>
          <a:ext cx="13014372" cy="3701955"/>
        </a:xfrm>
        <a:prstGeom prst="rect">
          <a:avLst/>
        </a:prstGeom>
        <a:solidFill>
          <a:srgbClr val="FFFFFF"/>
        </a:solidFill>
        <a:ln w="9525">
          <a:solidFill>
            <a:srgbClr val="FF0000"/>
          </a:solidFill>
          <a:miter lim="800000"/>
          <a:headEnd/>
          <a:tailEnd/>
        </a:ln>
      </xdr:spPr>
      <xdr:txBody>
        <a:bodyPr vertOverflow="clip" wrap="square" lIns="27432" tIns="32004" rIns="0" bIns="0" anchor="t" upright="1"/>
        <a:lstStyle/>
        <a:p>
          <a:pPr algn="l" rtl="0">
            <a:lnSpc>
              <a:spcPts val="1500"/>
            </a:lnSpc>
            <a:defRPr sz="1000"/>
          </a:pPr>
          <a:r>
            <a:rPr lang="en-US" sz="1200" b="1" i="0" u="none" strike="noStrike" baseline="0">
              <a:solidFill>
                <a:srgbClr val="000000"/>
              </a:solidFill>
              <a:latin typeface="+mn-lt"/>
              <a:ea typeface="Arial Unicode MS"/>
              <a:cs typeface="Arial Unicode MS"/>
            </a:rPr>
            <a:t>COUNTIF/ SUMIF Notes (all versions of Excel) as shown in </a:t>
          </a:r>
          <a:r>
            <a:rPr lang="en-US" sz="1200" b="1" i="0" u="none" strike="noStrike" baseline="0">
              <a:solidFill>
                <a:schemeClr val="accent2">
                  <a:lumMod val="75000"/>
                </a:schemeClr>
              </a:solidFill>
              <a:latin typeface="+mn-lt"/>
              <a:ea typeface="Arial Unicode MS"/>
              <a:cs typeface="Arial Unicode MS"/>
            </a:rPr>
            <a:t>Exer12</a:t>
          </a:r>
          <a:endParaRPr lang="en-US" sz="1200" b="0" i="0" u="none" strike="noStrike" baseline="0">
            <a:solidFill>
              <a:schemeClr val="accent2">
                <a:lumMod val="75000"/>
              </a:schemeClr>
            </a:solidFill>
            <a:latin typeface="+mn-lt"/>
            <a:ea typeface="Arial Unicode MS"/>
            <a:cs typeface="Arial Unicode MS"/>
          </a:endParaRPr>
        </a:p>
        <a:p>
          <a:pPr algn="l" rtl="0">
            <a:lnSpc>
              <a:spcPts val="1500"/>
            </a:lnSpc>
            <a:defRPr sz="1000"/>
          </a:pPr>
          <a:endParaRPr lang="en-US" sz="1200" b="0" i="0" u="none" strike="noStrike" baseline="0">
            <a:solidFill>
              <a:srgbClr val="000000"/>
            </a:solidFill>
            <a:latin typeface="+mn-lt"/>
            <a:ea typeface="Arial Unicode MS"/>
            <a:cs typeface="Arial Unicode MS"/>
          </a:endParaRPr>
        </a:p>
        <a:p>
          <a:pPr algn="l" rtl="0">
            <a:lnSpc>
              <a:spcPts val="1500"/>
            </a:lnSpc>
            <a:defRPr sz="1000"/>
          </a:pPr>
          <a:r>
            <a:rPr lang="en-US" sz="1200" b="0" i="0" u="none" strike="noStrike" baseline="0">
              <a:solidFill>
                <a:srgbClr val="000000"/>
              </a:solidFill>
              <a:latin typeface="+mn-lt"/>
              <a:ea typeface="Arial Unicode MS"/>
              <a:cs typeface="Arial Unicode MS"/>
            </a:rPr>
            <a:t>The COUNTIF function counts the number of items which match a criteria set by the user</a:t>
          </a:r>
        </a:p>
        <a:p>
          <a:pPr algn="l" rtl="0">
            <a:lnSpc>
              <a:spcPts val="1500"/>
            </a:lnSpc>
            <a:defRPr sz="1000"/>
          </a:pPr>
          <a:r>
            <a:rPr lang="en-US" sz="1200" b="0" i="0" u="none" strike="noStrike" baseline="0">
              <a:solidFill>
                <a:srgbClr val="000000"/>
              </a:solidFill>
              <a:latin typeface="+mn-lt"/>
              <a:ea typeface="Arial Unicode MS"/>
              <a:cs typeface="Arial Unicode MS"/>
            </a:rPr>
            <a:t>=COUNTIF(CriteriaRange,CriteriaToMatch)</a:t>
          </a:r>
        </a:p>
        <a:p>
          <a:pPr algn="l" rtl="0">
            <a:lnSpc>
              <a:spcPts val="1500"/>
            </a:lnSpc>
            <a:defRPr sz="1000"/>
          </a:pPr>
          <a:endParaRPr lang="en-US" sz="1200" b="0" i="0" u="none" strike="noStrike" baseline="0">
            <a:solidFill>
              <a:srgbClr val="000000"/>
            </a:solidFill>
            <a:latin typeface="+mn-lt"/>
            <a:ea typeface="Arial Unicode MS"/>
            <a:cs typeface="Arial Unicode MS"/>
          </a:endParaRPr>
        </a:p>
        <a:p>
          <a:pPr algn="l" rtl="0">
            <a:lnSpc>
              <a:spcPts val="1500"/>
            </a:lnSpc>
            <a:defRPr sz="1000"/>
          </a:pPr>
          <a:r>
            <a:rPr lang="en-US" sz="1200" b="0" i="0" u="none" strike="noStrike" baseline="0">
              <a:solidFill>
                <a:srgbClr val="000000"/>
              </a:solidFill>
              <a:latin typeface="+mn-lt"/>
              <a:ea typeface="Arial Unicode MS"/>
              <a:cs typeface="Arial Unicode MS"/>
            </a:rPr>
            <a:t>The SUMIF function adds the value of items which match a criteria set by the user.</a:t>
          </a:r>
        </a:p>
        <a:p>
          <a:pPr algn="l" rtl="0">
            <a:lnSpc>
              <a:spcPts val="1500"/>
            </a:lnSpc>
            <a:defRPr sz="1000"/>
          </a:pPr>
          <a:r>
            <a:rPr lang="en-US" sz="1200" b="0" i="0" u="none" strike="noStrike" baseline="0">
              <a:solidFill>
                <a:srgbClr val="000000"/>
              </a:solidFill>
              <a:latin typeface="+mn-lt"/>
              <a:ea typeface="Arial Unicode MS"/>
              <a:cs typeface="Arial Unicode MS"/>
            </a:rPr>
            <a:t>=SUMIF(CriteriaRange,CriteriaToMatch,RangeToSum)</a:t>
          </a:r>
        </a:p>
        <a:p>
          <a:pPr algn="l" rtl="0">
            <a:lnSpc>
              <a:spcPts val="1500"/>
            </a:lnSpc>
            <a:defRPr sz="1000"/>
          </a:pPr>
          <a:endParaRPr lang="en-US" sz="1200" b="1" i="0" u="none" strike="noStrike" baseline="0">
            <a:solidFill>
              <a:schemeClr val="accent2">
                <a:lumMod val="75000"/>
              </a:schemeClr>
            </a:solidFill>
            <a:latin typeface="+mn-lt"/>
            <a:ea typeface="Arial Unicode MS"/>
            <a:cs typeface="Arial Unicode MS"/>
          </a:endParaRPr>
        </a:p>
        <a:p>
          <a:pPr marL="0" marR="0" lvl="0" indent="0" algn="l" defTabSz="914400" rtl="0" eaLnBrk="1" fontAlgn="auto" latinLnBrk="0" hangingPunct="1">
            <a:lnSpc>
              <a:spcPts val="1500"/>
            </a:lnSpc>
            <a:spcBef>
              <a:spcPts val="0"/>
            </a:spcBef>
            <a:spcAft>
              <a:spcPts val="0"/>
            </a:spcAft>
            <a:buClrTx/>
            <a:buSzTx/>
            <a:buFontTx/>
            <a:buNone/>
            <a:tabLst/>
            <a:defRPr sz="1000"/>
          </a:pPr>
          <a:r>
            <a:rPr lang="en-US" sz="1200" b="1" i="0" u="none" strike="noStrike" baseline="0">
              <a:solidFill>
                <a:srgbClr val="000000"/>
              </a:solidFill>
              <a:latin typeface="+mn-lt"/>
              <a:ea typeface="Arial Unicode MS"/>
              <a:cs typeface="Arial Unicode MS"/>
            </a:rPr>
            <a:t>COUNTIFS/ SUMIFS Notes (Excel 2007/2010 only) as shown in </a:t>
          </a:r>
          <a:r>
            <a:rPr lang="en-US" sz="1200" b="1" i="0" u="none" strike="noStrike" baseline="0">
              <a:solidFill>
                <a:schemeClr val="accent2">
                  <a:lumMod val="75000"/>
                </a:schemeClr>
              </a:solidFill>
              <a:latin typeface="+mn-lt"/>
              <a:ea typeface="Arial Unicode MS"/>
              <a:cs typeface="Arial Unicode MS"/>
            </a:rPr>
            <a:t>Exer12</a:t>
          </a:r>
          <a:endParaRPr lang="en-IN" sz="1200" b="1" i="0" u="none" strike="noStrike" baseline="0">
            <a:solidFill>
              <a:schemeClr val="accent2">
                <a:lumMod val="75000"/>
              </a:schemeClr>
            </a:solidFill>
            <a:latin typeface="+mn-lt"/>
            <a:ea typeface="Arial Unicode MS"/>
            <a:cs typeface="Arial Unicode MS"/>
          </a:endParaRPr>
        </a:p>
        <a:p>
          <a:pPr algn="l" rtl="0">
            <a:lnSpc>
              <a:spcPts val="1500"/>
            </a:lnSpc>
            <a:defRPr sz="1000"/>
          </a:pPr>
          <a:endParaRPr lang="en-US" sz="1200" b="0" i="0" u="none" strike="noStrike" baseline="0">
            <a:solidFill>
              <a:srgbClr val="000000"/>
            </a:solidFill>
            <a:latin typeface="+mn-lt"/>
            <a:ea typeface="Arial Unicode MS"/>
            <a:cs typeface="Arial Unicode MS"/>
          </a:endParaRPr>
        </a:p>
        <a:p>
          <a:pPr algn="l" rtl="0">
            <a:lnSpc>
              <a:spcPts val="1500"/>
            </a:lnSpc>
            <a:defRPr sz="1000"/>
          </a:pPr>
          <a:r>
            <a:rPr lang="en-US" sz="1200" b="0" i="0" u="none" strike="noStrike" baseline="0">
              <a:solidFill>
                <a:srgbClr val="000000"/>
              </a:solidFill>
              <a:latin typeface="+mn-lt"/>
              <a:ea typeface="Arial Unicode MS"/>
              <a:cs typeface="Arial Unicode MS"/>
            </a:rPr>
            <a:t>COUNTIFS and SUMIFS allow for multiple AND conditions</a:t>
          </a:r>
        </a:p>
        <a:p>
          <a:pPr algn="l" rtl="0">
            <a:lnSpc>
              <a:spcPts val="1500"/>
            </a:lnSpc>
            <a:defRPr sz="1000"/>
          </a:pPr>
          <a:r>
            <a:rPr lang="en-US" sz="1200" b="0" i="0" u="none" strike="noStrike" baseline="0">
              <a:solidFill>
                <a:srgbClr val="000000"/>
              </a:solidFill>
              <a:latin typeface="+mn-lt"/>
              <a:ea typeface="Arial Unicode MS"/>
              <a:cs typeface="Arial Unicode MS"/>
            </a:rPr>
            <a:t>=COUNTIFS(Criteria1Range,Criteria1,Criteria2Range,Criteria2)</a:t>
          </a:r>
        </a:p>
        <a:p>
          <a:pPr algn="l" rtl="0">
            <a:lnSpc>
              <a:spcPts val="1500"/>
            </a:lnSpc>
            <a:defRPr sz="1000"/>
          </a:pPr>
          <a:r>
            <a:rPr lang="en-US" sz="1200" b="0" i="0" u="none" strike="noStrike" baseline="0">
              <a:solidFill>
                <a:srgbClr val="000000"/>
              </a:solidFill>
              <a:latin typeface="+mn-lt"/>
              <a:ea typeface="Arial Unicode MS"/>
              <a:cs typeface="Arial Unicode MS"/>
            </a:rPr>
            <a:t>=SUMIFS(RangeToSum,Criteria1Range,Criteria1,Criteria2Range,Criteria2)</a:t>
          </a:r>
        </a:p>
        <a:p>
          <a:pPr algn="l" rtl="0">
            <a:lnSpc>
              <a:spcPts val="1500"/>
            </a:lnSpc>
            <a:defRPr sz="1000"/>
          </a:pPr>
          <a:r>
            <a:rPr lang="en-US" sz="1200" b="0" i="0" u="none" strike="noStrike" baseline="0">
              <a:solidFill>
                <a:srgbClr val="000000"/>
              </a:solidFill>
              <a:latin typeface="+mn-lt"/>
              <a:ea typeface="Arial Unicode MS"/>
              <a:cs typeface="Arial Unicode MS"/>
            </a:rPr>
            <a:t>	</a:t>
          </a:r>
        </a:p>
        <a:p>
          <a:pPr marL="0" marR="0" lvl="0" indent="0" algn="l" defTabSz="914400" rtl="0" eaLnBrk="1" fontAlgn="auto" latinLnBrk="0" hangingPunct="1">
            <a:lnSpc>
              <a:spcPts val="1500"/>
            </a:lnSpc>
            <a:spcBef>
              <a:spcPts val="0"/>
            </a:spcBef>
            <a:spcAft>
              <a:spcPts val="0"/>
            </a:spcAft>
            <a:buClrTx/>
            <a:buSzTx/>
            <a:buFontTx/>
            <a:buNone/>
            <a:tabLst/>
            <a:defRPr sz="1000"/>
          </a:pPr>
          <a:r>
            <a:rPr lang="en-US" sz="1200" b="1" i="0" u="none" strike="noStrike" baseline="0">
              <a:solidFill>
                <a:srgbClr val="000000"/>
              </a:solidFill>
              <a:latin typeface="+mn-lt"/>
              <a:ea typeface="Arial Unicode MS"/>
              <a:cs typeface="Arial Unicode MS"/>
            </a:rPr>
            <a:t>SUMPRODUCT Notes (all versions of Excel) as shown in </a:t>
          </a:r>
          <a:r>
            <a:rPr lang="en-US" sz="1200" b="1" i="0" u="none" strike="noStrike" baseline="0">
              <a:solidFill>
                <a:schemeClr val="accent2">
                  <a:lumMod val="75000"/>
                </a:schemeClr>
              </a:solidFill>
              <a:latin typeface="+mn-lt"/>
              <a:ea typeface="Arial Unicode MS"/>
              <a:cs typeface="Arial Unicode MS"/>
            </a:rPr>
            <a:t>Exer12</a:t>
          </a:r>
          <a:endParaRPr lang="en-IN" sz="1200" b="1" i="0" u="none" strike="noStrike" baseline="0">
            <a:solidFill>
              <a:schemeClr val="accent2">
                <a:lumMod val="75000"/>
              </a:schemeClr>
            </a:solidFill>
            <a:latin typeface="+mn-lt"/>
            <a:ea typeface="Arial Unicode MS"/>
            <a:cs typeface="Arial Unicode MS"/>
          </a:endParaRPr>
        </a:p>
        <a:p>
          <a:pPr algn="l" rtl="0">
            <a:lnSpc>
              <a:spcPts val="1500"/>
            </a:lnSpc>
            <a:defRPr sz="1000"/>
          </a:pPr>
          <a:r>
            <a:rPr lang="en-US" sz="1200" b="0" i="0" u="none" strike="noStrike" baseline="0">
              <a:solidFill>
                <a:srgbClr val="000000"/>
              </a:solidFill>
              <a:latin typeface="+mn-lt"/>
              <a:ea typeface="Arial Unicode MS"/>
              <a:cs typeface="Arial Unicode MS"/>
            </a:rPr>
            <a:t>Using AND criteria</a:t>
          </a:r>
        </a:p>
        <a:p>
          <a:pPr algn="l" rtl="0">
            <a:lnSpc>
              <a:spcPts val="1500"/>
            </a:lnSpc>
            <a:defRPr sz="1000"/>
          </a:pPr>
          <a:r>
            <a:rPr lang="en-US" sz="1200" b="0" i="0" u="none" strike="noStrike" baseline="0">
              <a:solidFill>
                <a:srgbClr val="000000"/>
              </a:solidFill>
              <a:latin typeface="+mn-lt"/>
              <a:ea typeface="Arial Unicode MS"/>
              <a:cs typeface="Arial Unicode MS"/>
            </a:rPr>
            <a:t>=SUMPRODUCT((Criteria1Range=Criteria1)*(Criteria2Range=Criteria2)) - To Count items</a:t>
          </a:r>
        </a:p>
        <a:p>
          <a:pPr algn="l" rtl="0">
            <a:lnSpc>
              <a:spcPts val="1500"/>
            </a:lnSpc>
            <a:defRPr sz="1000"/>
          </a:pPr>
          <a:r>
            <a:rPr lang="en-US" sz="1200" b="0" i="0" u="none" strike="noStrike" baseline="0">
              <a:solidFill>
                <a:srgbClr val="000000"/>
              </a:solidFill>
              <a:latin typeface="+mn-lt"/>
              <a:ea typeface="Arial Unicode MS"/>
              <a:cs typeface="Arial Unicode MS"/>
            </a:rPr>
            <a:t>=SUMPRODUCT((Criteria1Range=Criteria1)*(Criteria2Range=Criteria2)*RangeToSum) - To Sum items</a:t>
          </a:r>
        </a:p>
        <a:p>
          <a:pPr algn="l" rtl="0">
            <a:lnSpc>
              <a:spcPts val="1500"/>
            </a:lnSpc>
            <a:defRPr sz="1000"/>
          </a:pPr>
          <a:r>
            <a:rPr lang="en-US" sz="1200" b="0" i="0" u="none" strike="noStrike" baseline="0">
              <a:solidFill>
                <a:srgbClr val="000000"/>
              </a:solidFill>
              <a:latin typeface="+mn-lt"/>
              <a:ea typeface="Arial Unicode MS"/>
              <a:cs typeface="Arial Unicode MS"/>
            </a:rPr>
            <a:t>Note: The RangeToSum is not in its own parenthetical phrase</a:t>
          </a:r>
        </a:p>
        <a:p>
          <a:pPr algn="l" rtl="0">
            <a:lnSpc>
              <a:spcPts val="1500"/>
            </a:lnSpc>
            <a:defRPr sz="1000"/>
          </a:pPr>
          <a:endParaRPr lang="en-US" sz="1200" b="0" i="0" u="none" strike="noStrike" baseline="0">
            <a:solidFill>
              <a:srgbClr val="000000"/>
            </a:solidFill>
            <a:latin typeface="+mn-lt"/>
            <a:ea typeface="Arial Unicode MS"/>
            <a:cs typeface="Arial Unicode MS"/>
          </a:endParaRPr>
        </a:p>
        <a:p>
          <a:pPr algn="l" rtl="0">
            <a:lnSpc>
              <a:spcPts val="1500"/>
            </a:lnSpc>
            <a:defRPr sz="1000"/>
          </a:pPr>
          <a:endParaRPr lang="en-US" sz="1200" b="0" i="0" u="none" strike="noStrike" baseline="0">
            <a:solidFill>
              <a:srgbClr val="000000"/>
            </a:solidFill>
            <a:latin typeface="+mn-lt"/>
            <a:ea typeface="Arial Unicode MS"/>
            <a:cs typeface="Arial Unicode MS"/>
          </a:endParaRPr>
        </a:p>
      </xdr:txBody>
    </xdr:sp>
    <xdr:clientData/>
  </xdr:twoCellAnchor>
  <xdr:twoCellAnchor>
    <xdr:from>
      <xdr:col>2</xdr:col>
      <xdr:colOff>119062</xdr:colOff>
      <xdr:row>0</xdr:row>
      <xdr:rowOff>95250</xdr:rowOff>
    </xdr:from>
    <xdr:to>
      <xdr:col>3</xdr:col>
      <xdr:colOff>182562</xdr:colOff>
      <xdr:row>3</xdr:row>
      <xdr:rowOff>17860</xdr:rowOff>
    </xdr:to>
    <xdr:sp macro="" textlink="">
      <xdr:nvSpPr>
        <xdr:cNvPr id="4" name="Arrow: Left 3">
          <a:hlinkClick xmlns:r="http://schemas.openxmlformats.org/officeDocument/2006/relationships" r:id="rId1"/>
          <a:extLst>
            <a:ext uri="{FF2B5EF4-FFF2-40B4-BE49-F238E27FC236}">
              <a16:creationId xmlns:a16="http://schemas.microsoft.com/office/drawing/2014/main" id="{12053BE1-B6D5-416C-8194-B7C09DC4F3BE}"/>
            </a:ext>
          </a:extLst>
        </xdr:cNvPr>
        <xdr:cNvSpPr/>
      </xdr:nvSpPr>
      <xdr:spPr>
        <a:xfrm>
          <a:off x="13271500" y="95250"/>
          <a:ext cx="674687" cy="486173"/>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BACK</a:t>
          </a:r>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19</xdr:col>
      <xdr:colOff>33867</xdr:colOff>
      <xdr:row>1</xdr:row>
      <xdr:rowOff>271621</xdr:rowOff>
    </xdr:from>
    <xdr:to>
      <xdr:col>21</xdr:col>
      <xdr:colOff>133121</xdr:colOff>
      <xdr:row>2</xdr:row>
      <xdr:rowOff>23128</xdr:rowOff>
    </xdr:to>
    <xdr:pic>
      <xdr:nvPicPr>
        <xdr:cNvPr id="2" name="Picture 1">
          <a:extLst>
            <a:ext uri="{FF2B5EF4-FFF2-40B4-BE49-F238E27FC236}">
              <a16:creationId xmlns:a16="http://schemas.microsoft.com/office/drawing/2014/main" id="{3F4C2978-CAA9-4BF7-92C5-D368503A0E5C}"/>
            </a:ext>
          </a:extLst>
        </xdr:cNvPr>
        <xdr:cNvPicPr>
          <a:picLocks noChangeAspect="1"/>
        </xdr:cNvPicPr>
      </xdr:nvPicPr>
      <xdr:blipFill>
        <a:blip xmlns:r="http://schemas.openxmlformats.org/officeDocument/2006/relationships" r:embed="rId1"/>
        <a:stretch>
          <a:fillRect/>
        </a:stretch>
      </xdr:blipFill>
      <xdr:spPr>
        <a:xfrm>
          <a:off x="12791017" y="443071"/>
          <a:ext cx="1443640" cy="291257"/>
        </a:xfrm>
        <a:prstGeom prst="rect">
          <a:avLst/>
        </a:prstGeom>
      </xdr:spPr>
    </xdr:pic>
    <xdr:clientData/>
  </xdr:twoCellAnchor>
  <xdr:twoCellAnchor editAs="oneCell">
    <xdr:from>
      <xdr:col>19</xdr:col>
      <xdr:colOff>16476</xdr:colOff>
      <xdr:row>4</xdr:row>
      <xdr:rowOff>39931</xdr:rowOff>
    </xdr:from>
    <xdr:to>
      <xdr:col>21</xdr:col>
      <xdr:colOff>554190</xdr:colOff>
      <xdr:row>5</xdr:row>
      <xdr:rowOff>137920</xdr:rowOff>
    </xdr:to>
    <xdr:pic>
      <xdr:nvPicPr>
        <xdr:cNvPr id="3" name="Picture 2">
          <a:extLst>
            <a:ext uri="{FF2B5EF4-FFF2-40B4-BE49-F238E27FC236}">
              <a16:creationId xmlns:a16="http://schemas.microsoft.com/office/drawing/2014/main" id="{AC2430BB-2F78-4D6E-818F-4A4F5B1E11B0}"/>
            </a:ext>
          </a:extLst>
        </xdr:cNvPr>
        <xdr:cNvPicPr>
          <a:picLocks noChangeAspect="1"/>
        </xdr:cNvPicPr>
      </xdr:nvPicPr>
      <xdr:blipFill>
        <a:blip xmlns:r="http://schemas.openxmlformats.org/officeDocument/2006/relationships" r:embed="rId2"/>
        <a:stretch>
          <a:fillRect/>
        </a:stretch>
      </xdr:blipFill>
      <xdr:spPr>
        <a:xfrm>
          <a:off x="12773626" y="1144831"/>
          <a:ext cx="1882100" cy="295818"/>
        </a:xfrm>
        <a:prstGeom prst="rect">
          <a:avLst/>
        </a:prstGeom>
      </xdr:spPr>
    </xdr:pic>
    <xdr:clientData/>
  </xdr:twoCellAnchor>
  <xdr:twoCellAnchor editAs="oneCell">
    <xdr:from>
      <xdr:col>19</xdr:col>
      <xdr:colOff>25105</xdr:colOff>
      <xdr:row>20</xdr:row>
      <xdr:rowOff>177916</xdr:rowOff>
    </xdr:from>
    <xdr:to>
      <xdr:col>22</xdr:col>
      <xdr:colOff>204885</xdr:colOff>
      <xdr:row>22</xdr:row>
      <xdr:rowOff>71304</xdr:rowOff>
    </xdr:to>
    <xdr:pic>
      <xdr:nvPicPr>
        <xdr:cNvPr id="4" name="Picture 3">
          <a:extLst>
            <a:ext uri="{FF2B5EF4-FFF2-40B4-BE49-F238E27FC236}">
              <a16:creationId xmlns:a16="http://schemas.microsoft.com/office/drawing/2014/main" id="{39BA6949-59FD-4FE0-90DE-1B77EF072E95}"/>
            </a:ext>
          </a:extLst>
        </xdr:cNvPr>
        <xdr:cNvPicPr>
          <a:picLocks noChangeAspect="1"/>
        </xdr:cNvPicPr>
      </xdr:nvPicPr>
      <xdr:blipFill>
        <a:blip xmlns:r="http://schemas.openxmlformats.org/officeDocument/2006/relationships" r:embed="rId3"/>
        <a:stretch>
          <a:fillRect/>
        </a:stretch>
      </xdr:blipFill>
      <xdr:spPr>
        <a:xfrm>
          <a:off x="13664905" y="4205630"/>
          <a:ext cx="2095666" cy="252617"/>
        </a:xfrm>
        <a:prstGeom prst="rect">
          <a:avLst/>
        </a:prstGeom>
      </xdr:spPr>
    </xdr:pic>
    <xdr:clientData/>
  </xdr:twoCellAnchor>
  <xdr:twoCellAnchor editAs="oneCell">
    <xdr:from>
      <xdr:col>19</xdr:col>
      <xdr:colOff>50342</xdr:colOff>
      <xdr:row>33</xdr:row>
      <xdr:rowOff>101600</xdr:rowOff>
    </xdr:from>
    <xdr:to>
      <xdr:col>23</xdr:col>
      <xdr:colOff>41703</xdr:colOff>
      <xdr:row>34</xdr:row>
      <xdr:rowOff>139711</xdr:rowOff>
    </xdr:to>
    <xdr:pic>
      <xdr:nvPicPr>
        <xdr:cNvPr id="5" name="Picture 4">
          <a:extLst>
            <a:ext uri="{FF2B5EF4-FFF2-40B4-BE49-F238E27FC236}">
              <a16:creationId xmlns:a16="http://schemas.microsoft.com/office/drawing/2014/main" id="{B1FEA7FA-BCFC-4F20-81CF-F9712DCEE152}"/>
            </a:ext>
          </a:extLst>
        </xdr:cNvPr>
        <xdr:cNvPicPr>
          <a:picLocks noChangeAspect="1"/>
        </xdr:cNvPicPr>
      </xdr:nvPicPr>
      <xdr:blipFill>
        <a:blip xmlns:r="http://schemas.openxmlformats.org/officeDocument/2006/relationships" r:embed="rId4"/>
        <a:stretch>
          <a:fillRect/>
        </a:stretch>
      </xdr:blipFill>
      <xdr:spPr>
        <a:xfrm>
          <a:off x="12807492" y="6324600"/>
          <a:ext cx="2554947" cy="215911"/>
        </a:xfrm>
        <a:prstGeom prst="rect">
          <a:avLst/>
        </a:prstGeom>
      </xdr:spPr>
    </xdr:pic>
    <xdr:clientData/>
  </xdr:twoCellAnchor>
  <xdr:twoCellAnchor editAs="oneCell">
    <xdr:from>
      <xdr:col>19</xdr:col>
      <xdr:colOff>17162</xdr:colOff>
      <xdr:row>9</xdr:row>
      <xdr:rowOff>42906</xdr:rowOff>
    </xdr:from>
    <xdr:to>
      <xdr:col>21</xdr:col>
      <xdr:colOff>116416</xdr:colOff>
      <xdr:row>11</xdr:row>
      <xdr:rowOff>1584</xdr:rowOff>
    </xdr:to>
    <xdr:pic>
      <xdr:nvPicPr>
        <xdr:cNvPr id="7" name="Picture 6">
          <a:extLst>
            <a:ext uri="{FF2B5EF4-FFF2-40B4-BE49-F238E27FC236}">
              <a16:creationId xmlns:a16="http://schemas.microsoft.com/office/drawing/2014/main" id="{4EE3C504-9704-4295-9DC1-80B77F5A4753}"/>
            </a:ext>
          </a:extLst>
        </xdr:cNvPr>
        <xdr:cNvPicPr>
          <a:picLocks noChangeAspect="1"/>
        </xdr:cNvPicPr>
      </xdr:nvPicPr>
      <xdr:blipFill>
        <a:blip xmlns:r="http://schemas.openxmlformats.org/officeDocument/2006/relationships" r:embed="rId1"/>
        <a:stretch>
          <a:fillRect/>
        </a:stretch>
      </xdr:blipFill>
      <xdr:spPr>
        <a:xfrm>
          <a:off x="12774312" y="2068556"/>
          <a:ext cx="1443640" cy="294003"/>
        </a:xfrm>
        <a:prstGeom prst="rect">
          <a:avLst/>
        </a:prstGeom>
      </xdr:spPr>
    </xdr:pic>
    <xdr:clientData/>
  </xdr:twoCellAnchor>
  <xdr:twoCellAnchor editAs="oneCell">
    <xdr:from>
      <xdr:col>19</xdr:col>
      <xdr:colOff>25744</xdr:colOff>
      <xdr:row>13</xdr:row>
      <xdr:rowOff>42905</xdr:rowOff>
    </xdr:from>
    <xdr:to>
      <xdr:col>21</xdr:col>
      <xdr:colOff>563458</xdr:colOff>
      <xdr:row>14</xdr:row>
      <xdr:rowOff>141873</xdr:rowOff>
    </xdr:to>
    <xdr:pic>
      <xdr:nvPicPr>
        <xdr:cNvPr id="8" name="Picture 7">
          <a:extLst>
            <a:ext uri="{FF2B5EF4-FFF2-40B4-BE49-F238E27FC236}">
              <a16:creationId xmlns:a16="http://schemas.microsoft.com/office/drawing/2014/main" id="{7C382EE6-D9CB-4403-9E93-20CE9AE965C2}"/>
            </a:ext>
          </a:extLst>
        </xdr:cNvPr>
        <xdr:cNvPicPr>
          <a:picLocks noChangeAspect="1"/>
        </xdr:cNvPicPr>
      </xdr:nvPicPr>
      <xdr:blipFill>
        <a:blip xmlns:r="http://schemas.openxmlformats.org/officeDocument/2006/relationships" r:embed="rId2"/>
        <a:stretch>
          <a:fillRect/>
        </a:stretch>
      </xdr:blipFill>
      <xdr:spPr>
        <a:xfrm>
          <a:off x="12782894" y="2798805"/>
          <a:ext cx="1882100" cy="295818"/>
        </a:xfrm>
        <a:prstGeom prst="rect">
          <a:avLst/>
        </a:prstGeom>
      </xdr:spPr>
    </xdr:pic>
    <xdr:clientData/>
  </xdr:twoCellAnchor>
  <xdr:twoCellAnchor editAs="oneCell">
    <xdr:from>
      <xdr:col>19</xdr:col>
      <xdr:colOff>17162</xdr:colOff>
      <xdr:row>37</xdr:row>
      <xdr:rowOff>94392</xdr:rowOff>
    </xdr:from>
    <xdr:to>
      <xdr:col>25</xdr:col>
      <xdr:colOff>532003</xdr:colOff>
      <xdr:row>38</xdr:row>
      <xdr:rowOff>131990</xdr:rowOff>
    </xdr:to>
    <xdr:pic>
      <xdr:nvPicPr>
        <xdr:cNvPr id="9" name="Picture 8">
          <a:extLst>
            <a:ext uri="{FF2B5EF4-FFF2-40B4-BE49-F238E27FC236}">
              <a16:creationId xmlns:a16="http://schemas.microsoft.com/office/drawing/2014/main" id="{CF40D98E-619D-4D4C-9C5E-576BFA990D3C}"/>
            </a:ext>
          </a:extLst>
        </xdr:cNvPr>
        <xdr:cNvPicPr>
          <a:picLocks noChangeAspect="1"/>
        </xdr:cNvPicPr>
      </xdr:nvPicPr>
      <xdr:blipFill>
        <a:blip xmlns:r="http://schemas.openxmlformats.org/officeDocument/2006/relationships" r:embed="rId5"/>
        <a:stretch>
          <a:fillRect/>
        </a:stretch>
      </xdr:blipFill>
      <xdr:spPr>
        <a:xfrm>
          <a:off x="12774312" y="7060342"/>
          <a:ext cx="4297627" cy="234447"/>
        </a:xfrm>
        <a:prstGeom prst="rect">
          <a:avLst/>
        </a:prstGeom>
      </xdr:spPr>
    </xdr:pic>
    <xdr:clientData/>
  </xdr:twoCellAnchor>
  <xdr:twoCellAnchor editAs="oneCell">
    <xdr:from>
      <xdr:col>19</xdr:col>
      <xdr:colOff>0</xdr:colOff>
      <xdr:row>25</xdr:row>
      <xdr:rowOff>0</xdr:rowOff>
    </xdr:from>
    <xdr:to>
      <xdr:col>24</xdr:col>
      <xdr:colOff>431911</xdr:colOff>
      <xdr:row>26</xdr:row>
      <xdr:rowOff>68157</xdr:rowOff>
    </xdr:to>
    <xdr:pic>
      <xdr:nvPicPr>
        <xdr:cNvPr id="10" name="Picture 9">
          <a:extLst>
            <a:ext uri="{FF2B5EF4-FFF2-40B4-BE49-F238E27FC236}">
              <a16:creationId xmlns:a16="http://schemas.microsoft.com/office/drawing/2014/main" id="{B6AF68C5-C638-4F74-8B00-7C970019B523}"/>
            </a:ext>
          </a:extLst>
        </xdr:cNvPr>
        <xdr:cNvPicPr>
          <a:picLocks noChangeAspect="1"/>
        </xdr:cNvPicPr>
      </xdr:nvPicPr>
      <xdr:blipFill>
        <a:blip xmlns:r="http://schemas.openxmlformats.org/officeDocument/2006/relationships" r:embed="rId6"/>
        <a:stretch>
          <a:fillRect/>
        </a:stretch>
      </xdr:blipFill>
      <xdr:spPr>
        <a:xfrm>
          <a:off x="12757150" y="4889500"/>
          <a:ext cx="3605097" cy="246447"/>
        </a:xfrm>
        <a:prstGeom prst="rect">
          <a:avLst/>
        </a:prstGeom>
      </xdr:spPr>
    </xdr:pic>
    <xdr:clientData/>
  </xdr:twoCellAnchor>
  <xdr:twoCellAnchor>
    <xdr:from>
      <xdr:col>14</xdr:col>
      <xdr:colOff>0</xdr:colOff>
      <xdr:row>1</xdr:row>
      <xdr:rowOff>0</xdr:rowOff>
    </xdr:from>
    <xdr:to>
      <xdr:col>14</xdr:col>
      <xdr:colOff>674687</xdr:colOff>
      <xdr:row>1</xdr:row>
      <xdr:rowOff>486173</xdr:rowOff>
    </xdr:to>
    <xdr:sp macro="" textlink="">
      <xdr:nvSpPr>
        <xdr:cNvPr id="11" name="Arrow: Left 10">
          <a:hlinkClick xmlns:r="http://schemas.openxmlformats.org/officeDocument/2006/relationships" r:id="rId7"/>
          <a:extLst>
            <a:ext uri="{FF2B5EF4-FFF2-40B4-BE49-F238E27FC236}">
              <a16:creationId xmlns:a16="http://schemas.microsoft.com/office/drawing/2014/main" id="{AE9CDCD9-FE81-4121-8378-FC48C4801B27}"/>
            </a:ext>
          </a:extLst>
        </xdr:cNvPr>
        <xdr:cNvSpPr/>
      </xdr:nvSpPr>
      <xdr:spPr>
        <a:xfrm>
          <a:off x="9911149" y="171622"/>
          <a:ext cx="674687" cy="486173"/>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BACK</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E9A9E-7FB0-420F-92F9-BA6C4D299859}">
  <sheetPr codeName="Sheet2"/>
  <dimension ref="A1:B59"/>
  <sheetViews>
    <sheetView showOutlineSymbols="0" showWhiteSpace="0" topLeftCell="A19" workbookViewId="0"/>
  </sheetViews>
  <sheetFormatPr defaultRowHeight="14.4"/>
  <cols>
    <col min="1" max="1" width="191.6640625" customWidth="1"/>
  </cols>
  <sheetData>
    <row r="1" spans="1:1" ht="21">
      <c r="A1" s="18" t="s">
        <v>1029</v>
      </c>
    </row>
    <row r="2" spans="1:1" ht="15.6">
      <c r="A2" s="1"/>
    </row>
    <row r="3" spans="1:1" ht="15.6">
      <c r="A3" s="19" t="s">
        <v>0</v>
      </c>
    </row>
    <row r="4" spans="1:1" ht="15.6">
      <c r="A4" s="3" t="s">
        <v>1</v>
      </c>
    </row>
    <row r="5" spans="1:1" ht="15.6">
      <c r="A5" s="3" t="s">
        <v>2</v>
      </c>
    </row>
    <row r="6" spans="1:1" ht="15.6">
      <c r="A6" s="3" t="s">
        <v>3</v>
      </c>
    </row>
    <row r="7" spans="1:1" ht="15.6">
      <c r="A7" s="3" t="s">
        <v>4</v>
      </c>
    </row>
    <row r="8" spans="1:1" ht="15.6">
      <c r="A8" s="3"/>
    </row>
    <row r="9" spans="1:1" ht="15.6">
      <c r="A9" s="19" t="s">
        <v>5</v>
      </c>
    </row>
    <row r="10" spans="1:1" ht="31.2">
      <c r="A10" s="3" t="s">
        <v>6</v>
      </c>
    </row>
    <row r="11" spans="1:1" ht="15.6">
      <c r="A11" s="3"/>
    </row>
    <row r="12" spans="1:1" ht="15.6">
      <c r="A12" s="19" t="s">
        <v>7</v>
      </c>
    </row>
    <row r="13" spans="1:1" ht="15.6">
      <c r="A13" s="3" t="s">
        <v>8</v>
      </c>
    </row>
    <row r="14" spans="1:1" ht="15.6">
      <c r="A14" s="2" t="s">
        <v>9</v>
      </c>
    </row>
    <row r="15" spans="1:1" ht="15.6">
      <c r="A15" s="2" t="s">
        <v>10</v>
      </c>
    </row>
    <row r="16" spans="1:1" ht="15.6">
      <c r="A16" s="2" t="s">
        <v>11</v>
      </c>
    </row>
    <row r="17" spans="1:1" ht="15.6">
      <c r="A17" s="4"/>
    </row>
    <row r="18" spans="1:1" ht="15.6">
      <c r="A18" s="17" t="s">
        <v>12</v>
      </c>
    </row>
    <row r="19" spans="1:1" ht="15.6">
      <c r="A19" s="3" t="s">
        <v>13</v>
      </c>
    </row>
    <row r="20" spans="1:1" ht="15.6">
      <c r="A20" s="3" t="s">
        <v>14</v>
      </c>
    </row>
    <row r="21" spans="1:1" ht="15.6">
      <c r="A21" s="1"/>
    </row>
    <row r="22" spans="1:1" ht="15.6">
      <c r="A22" s="5" t="s">
        <v>30</v>
      </c>
    </row>
    <row r="24" spans="1:1" ht="15.6">
      <c r="A24" s="2" t="s">
        <v>31</v>
      </c>
    </row>
    <row r="25" spans="1:1" ht="15.6">
      <c r="A25" s="3"/>
    </row>
    <row r="26" spans="1:1" ht="15.6">
      <c r="A26" s="17" t="s">
        <v>32</v>
      </c>
    </row>
    <row r="27" spans="1:1" ht="31.2">
      <c r="A27" s="3" t="s">
        <v>33</v>
      </c>
    </row>
    <row r="28" spans="1:1" ht="15.6">
      <c r="A28" s="3" t="s">
        <v>34</v>
      </c>
    </row>
    <row r="30" spans="1:1" ht="31.2">
      <c r="A30" s="3" t="s">
        <v>35</v>
      </c>
    </row>
    <row r="31" spans="1:1" ht="15.6">
      <c r="A31" s="3" t="s">
        <v>36</v>
      </c>
    </row>
    <row r="32" spans="1:1" ht="15.6">
      <c r="A32" s="3"/>
    </row>
    <row r="33" spans="1:2" ht="15.6">
      <c r="A33" s="2" t="s">
        <v>37</v>
      </c>
    </row>
    <row r="34" spans="1:2" ht="15.6">
      <c r="A34" s="5" t="s">
        <v>38</v>
      </c>
    </row>
    <row r="35" spans="1:2" ht="15.6">
      <c r="A35" s="3"/>
    </row>
    <row r="36" spans="1:2" ht="15.6">
      <c r="A36" s="17" t="s">
        <v>39</v>
      </c>
    </row>
    <row r="37" spans="1:2" ht="15.6">
      <c r="A37" s="3" t="s">
        <v>40</v>
      </c>
    </row>
    <row r="39" spans="1:2" ht="15.6">
      <c r="A39" s="3" t="s">
        <v>41</v>
      </c>
    </row>
    <row r="40" spans="1:2" ht="15.6">
      <c r="A40" s="3" t="s">
        <v>42</v>
      </c>
    </row>
    <row r="42" spans="1:2" ht="31.2">
      <c r="A42" s="3" t="s">
        <v>43</v>
      </c>
    </row>
    <row r="44" spans="1:2" ht="15.6">
      <c r="A44" s="5" t="s">
        <v>44</v>
      </c>
    </row>
    <row r="46" spans="1:2" ht="15.6">
      <c r="A46" s="2" t="s">
        <v>45</v>
      </c>
    </row>
    <row r="47" spans="1:2" ht="15.6">
      <c r="A47" s="3" t="s">
        <v>46</v>
      </c>
    </row>
    <row r="48" spans="1:2" ht="15.6">
      <c r="A48" s="10" t="s">
        <v>47</v>
      </c>
      <c r="B48" s="10"/>
    </row>
    <row r="49" spans="1:2" ht="15.6">
      <c r="A49" s="10" t="s">
        <v>48</v>
      </c>
      <c r="B49" s="10"/>
    </row>
    <row r="50" spans="1:2" ht="15.6">
      <c r="A50" s="10" t="s">
        <v>49</v>
      </c>
      <c r="B50" s="10"/>
    </row>
    <row r="51" spans="1:2" ht="15.6">
      <c r="A51" s="10" t="s">
        <v>50</v>
      </c>
      <c r="B51" s="10"/>
    </row>
    <row r="53" spans="1:2" ht="15.6">
      <c r="A53" s="1" t="s">
        <v>62</v>
      </c>
    </row>
    <row r="54" spans="1:2" ht="15.6">
      <c r="A54" s="2" t="s">
        <v>63</v>
      </c>
    </row>
    <row r="55" spans="1:2" ht="15.6">
      <c r="A55" s="3" t="s">
        <v>65</v>
      </c>
    </row>
    <row r="56" spans="1:2" ht="15.6">
      <c r="A56" s="3" t="s">
        <v>66</v>
      </c>
    </row>
    <row r="57" spans="1:2" ht="15.6">
      <c r="A57" s="3" t="s">
        <v>64</v>
      </c>
    </row>
    <row r="58" spans="1:2" ht="15.6">
      <c r="A58" s="3" t="s">
        <v>67</v>
      </c>
    </row>
    <row r="59" spans="1:2" ht="15.6">
      <c r="A59" s="3"/>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5C378-D5BF-4BE0-9F7A-7E150B00E937}">
  <sheetPr>
    <tabColor rgb="FFFFC000"/>
  </sheetPr>
  <dimension ref="B1:K32"/>
  <sheetViews>
    <sheetView showOutlineSymbols="0" showWhiteSpace="0" workbookViewId="0"/>
  </sheetViews>
  <sheetFormatPr defaultColWidth="8.77734375" defaultRowHeight="14.4"/>
  <cols>
    <col min="1" max="1" width="2.21875" customWidth="1"/>
    <col min="2" max="2" width="10.44140625" style="35" bestFit="1" customWidth="1"/>
    <col min="3" max="3" width="10.21875" bestFit="1" customWidth="1"/>
    <col min="4" max="4" width="12" bestFit="1" customWidth="1"/>
    <col min="5" max="5" width="13.6640625" customWidth="1"/>
    <col min="6" max="6" width="10.44140625" customWidth="1"/>
    <col min="7" max="7" width="11.44140625" customWidth="1"/>
    <col min="8" max="8" width="17.109375" bestFit="1" customWidth="1"/>
    <col min="9" max="10" width="16" bestFit="1" customWidth="1"/>
    <col min="11" max="11" width="11.33203125" bestFit="1" customWidth="1"/>
  </cols>
  <sheetData>
    <row r="1" spans="2:11" s="215" customFormat="1" ht="10.65" customHeight="1" thickBot="1">
      <c r="B1" s="214"/>
    </row>
    <row r="2" spans="2:11" ht="26.4" thickBot="1">
      <c r="B2" s="307" t="s">
        <v>1035</v>
      </c>
      <c r="C2" s="308"/>
      <c r="D2" s="308"/>
      <c r="E2" s="308"/>
      <c r="F2" s="309"/>
      <c r="G2" s="216"/>
      <c r="H2" s="216"/>
      <c r="I2" s="216"/>
      <c r="J2" s="216"/>
      <c r="K2" s="216"/>
    </row>
    <row r="3" spans="2:11" ht="31.2">
      <c r="B3" s="217" t="s">
        <v>15</v>
      </c>
      <c r="C3" s="218" t="s">
        <v>16</v>
      </c>
      <c r="D3" s="218" t="s">
        <v>17</v>
      </c>
      <c r="E3" s="218" t="s">
        <v>18</v>
      </c>
      <c r="F3" s="219" t="s">
        <v>152</v>
      </c>
      <c r="G3" s="220" t="s">
        <v>1036</v>
      </c>
      <c r="H3" s="216"/>
      <c r="I3" s="216"/>
      <c r="J3" s="216"/>
    </row>
    <row r="4" spans="2:11" ht="15.6">
      <c r="B4" s="221">
        <v>1</v>
      </c>
      <c r="C4" s="222" t="s">
        <v>20</v>
      </c>
      <c r="D4" s="222" t="s">
        <v>21</v>
      </c>
      <c r="E4" s="222" t="s">
        <v>22</v>
      </c>
      <c r="F4" s="223">
        <v>5000</v>
      </c>
      <c r="G4" s="224">
        <f>F4*0.1</f>
        <v>500</v>
      </c>
      <c r="H4" s="216" t="str">
        <f ca="1">_xlfn.FORMULATEXT(G4)</f>
        <v>=F4*0.1</v>
      </c>
      <c r="I4" s="216"/>
      <c r="J4" s="216"/>
    </row>
    <row r="5" spans="2:11" ht="15.6">
      <c r="B5" s="221">
        <v>2</v>
      </c>
      <c r="C5" s="222" t="s">
        <v>23</v>
      </c>
      <c r="D5" s="222" t="s">
        <v>24</v>
      </c>
      <c r="E5" s="222" t="s">
        <v>22</v>
      </c>
      <c r="F5" s="223">
        <v>3500</v>
      </c>
      <c r="G5" s="224">
        <f t="shared" ref="G5:G8" si="0">F5*0.1</f>
        <v>350</v>
      </c>
      <c r="H5" s="216"/>
      <c r="I5" s="216"/>
      <c r="J5" s="216"/>
    </row>
    <row r="6" spans="2:11" ht="15.6">
      <c r="B6" s="221">
        <v>3</v>
      </c>
      <c r="C6" s="222" t="s">
        <v>25</v>
      </c>
      <c r="D6" s="222" t="s">
        <v>24</v>
      </c>
      <c r="E6" s="222" t="s">
        <v>27</v>
      </c>
      <c r="F6" s="223">
        <v>10500</v>
      </c>
      <c r="G6" s="224">
        <f t="shared" si="0"/>
        <v>1050</v>
      </c>
      <c r="H6" s="216"/>
      <c r="I6" s="216"/>
      <c r="J6" s="216"/>
    </row>
    <row r="7" spans="2:11" ht="15.6">
      <c r="B7" s="221">
        <v>4</v>
      </c>
      <c r="C7" s="222" t="s">
        <v>28</v>
      </c>
      <c r="D7" s="222" t="s">
        <v>24</v>
      </c>
      <c r="E7" s="222" t="s">
        <v>27</v>
      </c>
      <c r="F7" s="223">
        <v>13200</v>
      </c>
      <c r="G7" s="224">
        <f t="shared" si="0"/>
        <v>1320</v>
      </c>
      <c r="H7" s="216"/>
      <c r="I7" s="216"/>
      <c r="J7" s="216"/>
    </row>
    <row r="8" spans="2:11" ht="16.2" thickBot="1">
      <c r="B8" s="225">
        <v>5</v>
      </c>
      <c r="C8" s="226" t="s">
        <v>29</v>
      </c>
      <c r="D8" s="226" t="s">
        <v>26</v>
      </c>
      <c r="E8" s="226" t="s">
        <v>22</v>
      </c>
      <c r="F8" s="227">
        <v>9550</v>
      </c>
      <c r="G8" s="224">
        <f t="shared" si="0"/>
        <v>955</v>
      </c>
      <c r="H8" s="216"/>
      <c r="I8" s="216"/>
      <c r="J8" s="216"/>
    </row>
    <row r="9" spans="2:11" s="215" customFormat="1" ht="9.4499999999999993" customHeight="1">
      <c r="B9" s="228"/>
      <c r="C9" s="229"/>
      <c r="D9" s="229"/>
      <c r="E9" s="229"/>
      <c r="F9" s="229"/>
      <c r="G9" s="229"/>
      <c r="H9" s="229"/>
      <c r="I9" s="229"/>
      <c r="J9" s="229"/>
    </row>
    <row r="10" spans="2:11" s="215" customFormat="1" ht="9.4499999999999993" customHeight="1">
      <c r="B10" s="228"/>
      <c r="C10" s="229"/>
      <c r="D10" s="229"/>
      <c r="E10" s="229"/>
      <c r="F10" s="229"/>
      <c r="G10" s="229"/>
      <c r="H10" s="229"/>
      <c r="I10" s="229"/>
      <c r="J10" s="229"/>
    </row>
    <row r="11" spans="2:11" s="215" customFormat="1" ht="9.4499999999999993" customHeight="1">
      <c r="B11" s="228"/>
      <c r="C11" s="229"/>
      <c r="D11" s="229"/>
      <c r="E11" s="229"/>
      <c r="F11" s="229"/>
      <c r="G11" s="229"/>
      <c r="H11" s="229"/>
      <c r="I11" s="229"/>
      <c r="J11" s="229"/>
    </row>
    <row r="12" spans="2:11" s="215" customFormat="1" ht="9.4499999999999993" customHeight="1" thickBot="1">
      <c r="B12" s="228"/>
      <c r="C12" s="229"/>
      <c r="D12" s="229"/>
      <c r="E12" s="229"/>
      <c r="F12" s="229"/>
      <c r="G12" s="229"/>
      <c r="H12" s="229"/>
      <c r="I12" s="229"/>
      <c r="J12" s="229"/>
    </row>
    <row r="13" spans="2:11" ht="26.4" thickBot="1">
      <c r="B13" s="307" t="s">
        <v>1037</v>
      </c>
      <c r="C13" s="308"/>
      <c r="D13" s="308"/>
      <c r="E13" s="308"/>
      <c r="F13" s="310"/>
      <c r="G13" s="230">
        <v>0.1</v>
      </c>
    </row>
    <row r="14" spans="2:11" ht="15.6">
      <c r="B14" s="217" t="s">
        <v>15</v>
      </c>
      <c r="C14" s="218" t="s">
        <v>16</v>
      </c>
      <c r="D14" s="218" t="s">
        <v>17</v>
      </c>
      <c r="E14" s="218" t="s">
        <v>18</v>
      </c>
      <c r="F14" s="219" t="s">
        <v>152</v>
      </c>
      <c r="G14" s="231" t="s">
        <v>1038</v>
      </c>
    </row>
    <row r="15" spans="2:11" ht="15.6">
      <c r="B15" s="221">
        <v>1</v>
      </c>
      <c r="C15" s="222" t="s">
        <v>20</v>
      </c>
      <c r="D15" s="222" t="s">
        <v>21</v>
      </c>
      <c r="E15" s="222" t="s">
        <v>22</v>
      </c>
      <c r="F15" s="223">
        <v>5000</v>
      </c>
      <c r="G15" s="224">
        <f>F15*$G$13</f>
        <v>500</v>
      </c>
    </row>
    <row r="16" spans="2:11" ht="15.6">
      <c r="B16" s="221">
        <v>2</v>
      </c>
      <c r="C16" s="222" t="s">
        <v>23</v>
      </c>
      <c r="D16" s="222" t="s">
        <v>24</v>
      </c>
      <c r="E16" s="222" t="s">
        <v>22</v>
      </c>
      <c r="F16" s="223">
        <v>3500</v>
      </c>
      <c r="G16" s="224">
        <f t="shared" ref="G16:G19" si="1">F16*$G$13</f>
        <v>350</v>
      </c>
    </row>
    <row r="17" spans="2:11" ht="15.6">
      <c r="B17" s="221">
        <v>3</v>
      </c>
      <c r="C17" s="222" t="s">
        <v>25</v>
      </c>
      <c r="D17" s="222" t="s">
        <v>26</v>
      </c>
      <c r="E17" s="222" t="s">
        <v>27</v>
      </c>
      <c r="F17" s="223">
        <v>10500</v>
      </c>
      <c r="G17" s="224">
        <f t="shared" si="1"/>
        <v>1050</v>
      </c>
    </row>
    <row r="18" spans="2:11" ht="15.6">
      <c r="B18" s="221">
        <v>4</v>
      </c>
      <c r="C18" s="222" t="s">
        <v>28</v>
      </c>
      <c r="D18" s="222" t="s">
        <v>24</v>
      </c>
      <c r="E18" s="222" t="s">
        <v>27</v>
      </c>
      <c r="F18" s="223">
        <v>13200</v>
      </c>
      <c r="G18" s="224">
        <f t="shared" si="1"/>
        <v>1320</v>
      </c>
    </row>
    <row r="19" spans="2:11" ht="16.2" thickBot="1">
      <c r="B19" s="225">
        <v>5</v>
      </c>
      <c r="C19" s="226" t="s">
        <v>29</v>
      </c>
      <c r="D19" s="226" t="s">
        <v>26</v>
      </c>
      <c r="E19" s="226" t="s">
        <v>22</v>
      </c>
      <c r="F19" s="227">
        <v>9550</v>
      </c>
      <c r="G19" s="224">
        <f t="shared" si="1"/>
        <v>955</v>
      </c>
    </row>
    <row r="20" spans="2:11" s="215" customFormat="1" ht="9" customHeight="1">
      <c r="B20" s="228"/>
      <c r="C20" s="229"/>
      <c r="D20" s="229"/>
      <c r="E20" s="229"/>
      <c r="F20" s="229"/>
      <c r="G20" s="229"/>
      <c r="H20" s="229"/>
      <c r="I20" s="229"/>
      <c r="J20" s="229"/>
      <c r="K20" s="229"/>
    </row>
    <row r="21" spans="2:11" s="215" customFormat="1" ht="9" customHeight="1">
      <c r="B21" s="228"/>
      <c r="C21" s="229"/>
      <c r="D21" s="229"/>
      <c r="E21" s="229"/>
      <c r="F21" s="229"/>
      <c r="G21" s="229"/>
      <c r="H21" s="229"/>
      <c r="I21" s="229"/>
      <c r="J21" s="229"/>
      <c r="K21" s="229"/>
    </row>
    <row r="22" spans="2:11" s="215" customFormat="1" ht="9" customHeight="1">
      <c r="B22" s="228"/>
      <c r="C22" s="229"/>
      <c r="D22" s="229"/>
      <c r="E22" s="229"/>
      <c r="F22" s="229"/>
      <c r="G22" s="229"/>
      <c r="H22" s="229"/>
      <c r="I22" s="229"/>
      <c r="J22" s="229"/>
      <c r="K22" s="229"/>
    </row>
    <row r="23" spans="2:11" s="215" customFormat="1" ht="9" customHeight="1" thickBot="1">
      <c r="B23" s="228"/>
      <c r="C23" s="229"/>
      <c r="D23" s="229"/>
      <c r="E23" s="229"/>
      <c r="F23" s="229"/>
      <c r="G23" s="229"/>
      <c r="H23" s="229"/>
      <c r="I23" s="229"/>
      <c r="J23" s="229"/>
      <c r="K23" s="229"/>
    </row>
    <row r="24" spans="2:11" ht="26.4" thickBot="1">
      <c r="B24" s="307" t="s">
        <v>1039</v>
      </c>
      <c r="C24" s="308"/>
      <c r="D24" s="308"/>
      <c r="E24" s="308"/>
      <c r="F24" s="310"/>
      <c r="G24" s="232">
        <v>0.1</v>
      </c>
      <c r="H24" s="233">
        <v>0.2</v>
      </c>
      <c r="I24" s="233">
        <v>0.3</v>
      </c>
      <c r="J24" s="233">
        <v>0.4</v>
      </c>
      <c r="K24" s="234">
        <v>0.5</v>
      </c>
    </row>
    <row r="25" spans="2:11" ht="16.2" thickBot="1">
      <c r="B25" s="217" t="s">
        <v>15</v>
      </c>
      <c r="C25" s="218" t="s">
        <v>16</v>
      </c>
      <c r="D25" s="218" t="s">
        <v>17</v>
      </c>
      <c r="E25" s="218" t="s">
        <v>18</v>
      </c>
      <c r="F25" s="219" t="s">
        <v>152</v>
      </c>
      <c r="G25" s="235" t="s">
        <v>1040</v>
      </c>
      <c r="H25" s="236" t="s">
        <v>1041</v>
      </c>
      <c r="I25" s="236" t="s">
        <v>1042</v>
      </c>
      <c r="J25" s="236" t="s">
        <v>1043</v>
      </c>
      <c r="K25" s="237" t="s">
        <v>1044</v>
      </c>
    </row>
    <row r="26" spans="2:11" ht="15.6">
      <c r="B26" s="221">
        <v>1</v>
      </c>
      <c r="C26" s="222" t="s">
        <v>20</v>
      </c>
      <c r="D26" s="222" t="s">
        <v>21</v>
      </c>
      <c r="E26" s="222" t="s">
        <v>22</v>
      </c>
      <c r="F26" s="223">
        <v>1000</v>
      </c>
      <c r="G26" s="238">
        <f>$F26*G$24</f>
        <v>100</v>
      </c>
      <c r="H26" s="238">
        <f t="shared" ref="H26:K26" si="2">$F26*H$24</f>
        <v>200</v>
      </c>
      <c r="I26" s="238">
        <f t="shared" si="2"/>
        <v>300</v>
      </c>
      <c r="J26" s="238">
        <f t="shared" si="2"/>
        <v>400</v>
      </c>
      <c r="K26" s="238">
        <f t="shared" si="2"/>
        <v>500</v>
      </c>
    </row>
    <row r="27" spans="2:11" ht="15.6">
      <c r="B27" s="221">
        <v>2</v>
      </c>
      <c r="C27" s="222" t="s">
        <v>23</v>
      </c>
      <c r="D27" s="222" t="s">
        <v>24</v>
      </c>
      <c r="E27" s="222" t="s">
        <v>22</v>
      </c>
      <c r="F27" s="223">
        <v>2000</v>
      </c>
      <c r="G27" s="238">
        <f t="shared" ref="G27:K30" si="3">$F27*G$24</f>
        <v>200</v>
      </c>
      <c r="H27" s="238">
        <f t="shared" si="3"/>
        <v>400</v>
      </c>
      <c r="I27" s="238">
        <f t="shared" si="3"/>
        <v>600</v>
      </c>
      <c r="J27" s="238">
        <f t="shared" si="3"/>
        <v>800</v>
      </c>
      <c r="K27" s="238">
        <f t="shared" si="3"/>
        <v>1000</v>
      </c>
    </row>
    <row r="28" spans="2:11" ht="15.6">
      <c r="B28" s="221">
        <v>3</v>
      </c>
      <c r="C28" s="222" t="s">
        <v>25</v>
      </c>
      <c r="D28" s="222" t="s">
        <v>26</v>
      </c>
      <c r="E28" s="222" t="s">
        <v>27</v>
      </c>
      <c r="F28" s="223">
        <v>3000</v>
      </c>
      <c r="G28" s="238">
        <f t="shared" si="3"/>
        <v>300</v>
      </c>
      <c r="H28" s="238">
        <f t="shared" si="3"/>
        <v>600</v>
      </c>
      <c r="I28" s="238">
        <f t="shared" si="3"/>
        <v>900</v>
      </c>
      <c r="J28" s="238">
        <f t="shared" si="3"/>
        <v>1200</v>
      </c>
      <c r="K28" s="238">
        <f t="shared" si="3"/>
        <v>1500</v>
      </c>
    </row>
    <row r="29" spans="2:11" ht="15.6">
      <c r="B29" s="221">
        <v>4</v>
      </c>
      <c r="C29" s="222" t="s">
        <v>28</v>
      </c>
      <c r="D29" s="222" t="s">
        <v>24</v>
      </c>
      <c r="E29" s="222" t="s">
        <v>27</v>
      </c>
      <c r="F29" s="223">
        <v>4000</v>
      </c>
      <c r="G29" s="238">
        <f t="shared" si="3"/>
        <v>400</v>
      </c>
      <c r="H29" s="238">
        <f t="shared" si="3"/>
        <v>800</v>
      </c>
      <c r="I29" s="238">
        <f t="shared" si="3"/>
        <v>1200</v>
      </c>
      <c r="J29" s="238">
        <f t="shared" si="3"/>
        <v>1600</v>
      </c>
      <c r="K29" s="238">
        <f t="shared" si="3"/>
        <v>2000</v>
      </c>
    </row>
    <row r="30" spans="2:11" ht="16.2" thickBot="1">
      <c r="B30" s="225">
        <v>5</v>
      </c>
      <c r="C30" s="226" t="s">
        <v>29</v>
      </c>
      <c r="D30" s="226" t="s">
        <v>26</v>
      </c>
      <c r="E30" s="226" t="s">
        <v>22</v>
      </c>
      <c r="F30" s="227">
        <v>5000</v>
      </c>
      <c r="G30" s="238">
        <f t="shared" si="3"/>
        <v>500</v>
      </c>
      <c r="H30" s="238">
        <f t="shared" si="3"/>
        <v>1000</v>
      </c>
      <c r="I30" s="238">
        <f t="shared" si="3"/>
        <v>1500</v>
      </c>
      <c r="J30" s="238">
        <f t="shared" si="3"/>
        <v>2000</v>
      </c>
      <c r="K30" s="238">
        <f t="shared" si="3"/>
        <v>2500</v>
      </c>
    </row>
    <row r="31" spans="2:11" s="215" customFormat="1" ht="9.4499999999999993" customHeight="1">
      <c r="B31" s="228"/>
      <c r="C31" s="229"/>
      <c r="D31" s="229"/>
      <c r="E31" s="229"/>
      <c r="F31" s="229"/>
      <c r="G31" s="229"/>
      <c r="H31" s="229"/>
      <c r="I31" s="229"/>
      <c r="J31" s="229"/>
      <c r="K31" s="229"/>
    </row>
    <row r="32" spans="2:11">
      <c r="B32" s="239"/>
      <c r="C32" s="216"/>
      <c r="D32" s="216"/>
      <c r="E32" s="216"/>
      <c r="F32" s="216"/>
    </row>
  </sheetData>
  <mergeCells count="3">
    <mergeCell ref="B2:F2"/>
    <mergeCell ref="B13:F13"/>
    <mergeCell ref="B24:F2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9D8BC-F4AD-4572-9727-6CBDC416A9A1}">
  <dimension ref="A1:A18"/>
  <sheetViews>
    <sheetView showOutlineSymbols="0" showWhiteSpace="0" workbookViewId="0"/>
  </sheetViews>
  <sheetFormatPr defaultRowHeight="14.4"/>
  <cols>
    <col min="1" max="1" width="191.6640625" customWidth="1"/>
  </cols>
  <sheetData>
    <row r="1" spans="1:1" ht="21">
      <c r="A1" s="18" t="s">
        <v>1028</v>
      </c>
    </row>
    <row r="2" spans="1:1" ht="15.6">
      <c r="A2" s="1"/>
    </row>
    <row r="3" spans="1:1" ht="15.6">
      <c r="A3" s="17" t="s">
        <v>51</v>
      </c>
    </row>
    <row r="4" spans="1:1" ht="31.2">
      <c r="A4" s="3" t="s">
        <v>52</v>
      </c>
    </row>
    <row r="5" spans="1:1" ht="15.6">
      <c r="A5" s="3"/>
    </row>
    <row r="6" spans="1:1" ht="15.6">
      <c r="A6" s="17" t="s">
        <v>53</v>
      </c>
    </row>
    <row r="7" spans="1:1" ht="15.6">
      <c r="A7" s="3" t="s">
        <v>68</v>
      </c>
    </row>
    <row r="8" spans="1:1" ht="15.6">
      <c r="A8" s="2" t="s">
        <v>56</v>
      </c>
    </row>
    <row r="9" spans="1:1" ht="15.6">
      <c r="A9" s="2" t="s">
        <v>54</v>
      </c>
    </row>
    <row r="10" spans="1:1" ht="15.6">
      <c r="A10" s="2" t="s">
        <v>55</v>
      </c>
    </row>
    <row r="12" spans="1:1" ht="15.6">
      <c r="A12" s="17" t="s">
        <v>57</v>
      </c>
    </row>
    <row r="13" spans="1:1" ht="15.6">
      <c r="A13" s="5" t="s">
        <v>58</v>
      </c>
    </row>
    <row r="15" spans="1:1" ht="15.6">
      <c r="A15" s="11" t="s">
        <v>59</v>
      </c>
    </row>
    <row r="17" spans="1:1" ht="15.6">
      <c r="A17" s="3" t="s">
        <v>60</v>
      </c>
    </row>
    <row r="18" spans="1:1" ht="15.6">
      <c r="A18" s="2" t="s">
        <v>61</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F5EBF-5049-4829-8FF8-F00EEF7BB1C7}">
  <sheetPr codeName="Sheet3">
    <tabColor rgb="FFFFC000"/>
  </sheetPr>
  <dimension ref="A1:F14"/>
  <sheetViews>
    <sheetView showOutlineSymbols="0" showWhiteSpace="0" workbookViewId="0"/>
  </sheetViews>
  <sheetFormatPr defaultRowHeight="14.4"/>
  <cols>
    <col min="1" max="1" width="9" bestFit="1" customWidth="1"/>
    <col min="2" max="5" width="19.6640625" customWidth="1"/>
    <col min="6" max="6" width="26.77734375" customWidth="1"/>
  </cols>
  <sheetData>
    <row r="1" spans="1:6" ht="15.6">
      <c r="A1" s="8" t="s">
        <v>15</v>
      </c>
      <c r="B1" s="8" t="s">
        <v>16</v>
      </c>
      <c r="C1" s="8" t="s">
        <v>17</v>
      </c>
      <c r="D1" s="8" t="s">
        <v>18</v>
      </c>
      <c r="E1" s="8" t="s">
        <v>19</v>
      </c>
    </row>
    <row r="2" spans="1:6" ht="15.6">
      <c r="A2" s="7">
        <v>1</v>
      </c>
      <c r="B2" s="7" t="s">
        <v>20</v>
      </c>
      <c r="C2" s="7" t="s">
        <v>21</v>
      </c>
      <c r="D2" s="7" t="s">
        <v>22</v>
      </c>
      <c r="E2" s="9">
        <v>5000</v>
      </c>
    </row>
    <row r="3" spans="1:6" ht="15.6">
      <c r="A3" s="7">
        <v>2</v>
      </c>
      <c r="B3" s="7" t="s">
        <v>23</v>
      </c>
      <c r="C3" s="7" t="s">
        <v>24</v>
      </c>
      <c r="D3" s="7" t="s">
        <v>22</v>
      </c>
      <c r="E3" s="9">
        <v>3500</v>
      </c>
    </row>
    <row r="4" spans="1:6" ht="15.6">
      <c r="A4" s="7">
        <v>3</v>
      </c>
      <c r="B4" s="7" t="s">
        <v>25</v>
      </c>
      <c r="C4" s="7" t="s">
        <v>26</v>
      </c>
      <c r="D4" s="7" t="s">
        <v>27</v>
      </c>
      <c r="E4" s="9">
        <v>7000</v>
      </c>
      <c r="F4" s="300" t="s">
        <v>1098</v>
      </c>
    </row>
    <row r="5" spans="1:6" ht="15.6">
      <c r="A5" s="7">
        <v>4</v>
      </c>
      <c r="B5" s="7" t="s">
        <v>28</v>
      </c>
      <c r="C5" s="7" t="s">
        <v>24</v>
      </c>
      <c r="D5" s="7" t="s">
        <v>27</v>
      </c>
      <c r="E5" s="9">
        <v>4000</v>
      </c>
    </row>
    <row r="6" spans="1:6" ht="15.6">
      <c r="A6" s="7">
        <v>5</v>
      </c>
      <c r="B6" s="7" t="s">
        <v>29</v>
      </c>
      <c r="C6" s="7" t="s">
        <v>26</v>
      </c>
      <c r="D6" s="7" t="s">
        <v>22</v>
      </c>
      <c r="E6" s="9">
        <v>8000</v>
      </c>
    </row>
    <row r="9" spans="1:6" ht="15.6">
      <c r="D9" s="10" t="s">
        <v>1099</v>
      </c>
      <c r="E9">
        <f>SUM(BASIC)</f>
        <v>27500</v>
      </c>
    </row>
    <row r="10" spans="1:6" ht="15.6">
      <c r="D10" s="10" t="s">
        <v>1100</v>
      </c>
      <c r="E10">
        <f>AVERAGE(BASIC)</f>
        <v>5500</v>
      </c>
    </row>
    <row r="11" spans="1:6" ht="15.6">
      <c r="D11" s="10" t="s">
        <v>1101</v>
      </c>
      <c r="E11">
        <f>MAX(BASIC)</f>
        <v>8000</v>
      </c>
    </row>
    <row r="12" spans="1:6" ht="15.6">
      <c r="D12" s="10" t="s">
        <v>1102</v>
      </c>
      <c r="E12">
        <f>MIN(BASIC)</f>
        <v>3500</v>
      </c>
    </row>
    <row r="13" spans="1:6" ht="15.6">
      <c r="D13" s="10" t="s">
        <v>1103</v>
      </c>
      <c r="E13">
        <f>COUNTA(BASIC)</f>
        <v>5</v>
      </c>
    </row>
    <row r="14" spans="1:6">
      <c r="E14" t="s">
        <v>1104</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8951E-64BE-48B0-B871-8AC390062146}">
  <sheetPr codeName="Sheet4"/>
  <dimension ref="A1:A23"/>
  <sheetViews>
    <sheetView showOutlineSymbols="0" showWhiteSpace="0" workbookViewId="0"/>
  </sheetViews>
  <sheetFormatPr defaultRowHeight="14.4"/>
  <cols>
    <col min="1" max="1" width="179.77734375" customWidth="1"/>
  </cols>
  <sheetData>
    <row r="1" spans="1:1" ht="21">
      <c r="A1" s="18" t="s">
        <v>69</v>
      </c>
    </row>
    <row r="2" spans="1:1" ht="15.6">
      <c r="A2" s="1"/>
    </row>
    <row r="3" spans="1:1" ht="15.6">
      <c r="A3" s="17" t="s">
        <v>70</v>
      </c>
    </row>
    <row r="4" spans="1:1" ht="31.2">
      <c r="A4" s="3" t="s">
        <v>71</v>
      </c>
    </row>
    <row r="5" spans="1:1" ht="15.6">
      <c r="A5" s="12" t="s">
        <v>74</v>
      </c>
    </row>
    <row r="6" spans="1:1" ht="15.6">
      <c r="A6" s="3" t="s">
        <v>72</v>
      </c>
    </row>
    <row r="7" spans="1:1" ht="15.6">
      <c r="A7" s="2" t="s">
        <v>73</v>
      </c>
    </row>
    <row r="9" spans="1:1" ht="15.6">
      <c r="A9" s="17" t="s">
        <v>75</v>
      </c>
    </row>
    <row r="10" spans="1:1" ht="31.2">
      <c r="A10" s="3" t="s">
        <v>86</v>
      </c>
    </row>
    <row r="11" spans="1:1" ht="31.2">
      <c r="A11" s="3" t="s">
        <v>87</v>
      </c>
    </row>
    <row r="12" spans="1:1" ht="15.6">
      <c r="A12" s="2" t="s">
        <v>76</v>
      </c>
    </row>
    <row r="14" spans="1:1" ht="15.6">
      <c r="A14" s="2" t="s">
        <v>88</v>
      </c>
    </row>
    <row r="16" spans="1:1" ht="15.6">
      <c r="A16" s="1" t="s">
        <v>89</v>
      </c>
    </row>
    <row r="17" spans="1:1" ht="15.6">
      <c r="A17" s="15" t="s">
        <v>90</v>
      </c>
    </row>
    <row r="19" spans="1:1" ht="15.6">
      <c r="A19" s="2" t="s">
        <v>91</v>
      </c>
    </row>
    <row r="20" spans="1:1" ht="15.6">
      <c r="A20" s="3" t="s">
        <v>92</v>
      </c>
    </row>
    <row r="21" spans="1:1" ht="31.2">
      <c r="A21" s="3" t="s">
        <v>93</v>
      </c>
    </row>
    <row r="22" spans="1:1" ht="15.6">
      <c r="A22" s="3"/>
    </row>
    <row r="23" spans="1:1" ht="15.6">
      <c r="A23" s="2" t="s">
        <v>94</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4388B-EE41-4854-98FC-5DAC013EB0CF}">
  <sheetPr codeName="Sheet5">
    <tabColor rgb="FFFFC000"/>
  </sheetPr>
  <dimension ref="A1:G11"/>
  <sheetViews>
    <sheetView showOutlineSymbols="0" showWhiteSpace="0" workbookViewId="0"/>
  </sheetViews>
  <sheetFormatPr defaultRowHeight="14.4"/>
  <cols>
    <col min="1" max="1" width="9" style="14" bestFit="1" customWidth="1"/>
    <col min="2" max="2" width="10" style="14" bestFit="1" customWidth="1"/>
    <col min="3" max="3" width="11.77734375" style="14" bestFit="1" customWidth="1"/>
    <col min="4" max="4" width="8.109375" style="14" bestFit="1" customWidth="1"/>
  </cols>
  <sheetData>
    <row r="1" spans="1:7" ht="15.6">
      <c r="A1" s="13" t="s">
        <v>77</v>
      </c>
      <c r="B1" s="13" t="s">
        <v>78</v>
      </c>
      <c r="C1" s="13" t="s">
        <v>84</v>
      </c>
      <c r="D1" s="13" t="s">
        <v>85</v>
      </c>
      <c r="E1" s="301" t="s">
        <v>1106</v>
      </c>
    </row>
    <row r="2" spans="1:7" ht="15.6">
      <c r="A2" s="6">
        <v>1</v>
      </c>
      <c r="B2" s="6" t="s">
        <v>79</v>
      </c>
      <c r="C2" s="6">
        <v>120</v>
      </c>
      <c r="D2" s="6">
        <v>90</v>
      </c>
      <c r="E2">
        <f>C2*D2</f>
        <v>10800</v>
      </c>
    </row>
    <row r="3" spans="1:7" ht="15.6">
      <c r="A3" s="6">
        <v>2</v>
      </c>
      <c r="B3" s="6" t="s">
        <v>80</v>
      </c>
      <c r="C3" s="6">
        <v>125</v>
      </c>
      <c r="D3" s="6">
        <v>85</v>
      </c>
      <c r="E3">
        <f t="shared" ref="E3:E7" si="0">C3*D3</f>
        <v>10625</v>
      </c>
    </row>
    <row r="4" spans="1:7" ht="15.6">
      <c r="A4" s="6">
        <v>3</v>
      </c>
      <c r="B4" s="6" t="s">
        <v>81</v>
      </c>
      <c r="C4" s="6">
        <v>125</v>
      </c>
      <c r="D4" s="6">
        <v>60</v>
      </c>
      <c r="E4">
        <f t="shared" si="0"/>
        <v>7500</v>
      </c>
    </row>
    <row r="5" spans="1:7" ht="15.6">
      <c r="A5" s="6">
        <v>4</v>
      </c>
      <c r="B5" s="6" t="s">
        <v>82</v>
      </c>
      <c r="C5" s="6">
        <v>150</v>
      </c>
      <c r="D5" s="6">
        <v>45</v>
      </c>
      <c r="E5">
        <f t="shared" si="0"/>
        <v>6750</v>
      </c>
    </row>
    <row r="6" spans="1:7" ht="15.6">
      <c r="A6" s="6">
        <v>5</v>
      </c>
      <c r="B6" s="6" t="s">
        <v>83</v>
      </c>
      <c r="C6" s="6">
        <v>140</v>
      </c>
      <c r="D6" s="6">
        <v>35</v>
      </c>
      <c r="E6">
        <f t="shared" si="0"/>
        <v>4900</v>
      </c>
    </row>
    <row r="7" spans="1:7" ht="15.6">
      <c r="A7" s="6">
        <v>6</v>
      </c>
      <c r="B7" s="6" t="s">
        <v>479</v>
      </c>
      <c r="C7" s="6">
        <v>130</v>
      </c>
      <c r="D7" s="6">
        <v>42</v>
      </c>
      <c r="E7">
        <f t="shared" si="0"/>
        <v>5460</v>
      </c>
    </row>
    <row r="8" spans="1:7">
      <c r="E8">
        <f>SUM(E2:E7)</f>
        <v>46035</v>
      </c>
      <c r="G8" t="s">
        <v>1105</v>
      </c>
    </row>
    <row r="11" spans="1:7">
      <c r="D11" s="14">
        <f t="array" ref="D11">SUM(C2:C7*D2:D7)</f>
        <v>46035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C7B13-11E3-4B9B-AFCE-EDC5529E5622}">
  <dimension ref="B1:Z22"/>
  <sheetViews>
    <sheetView showOutlineSymbols="0" showWhiteSpace="0" workbookViewId="0"/>
  </sheetViews>
  <sheetFormatPr defaultColWidth="8.77734375" defaultRowHeight="14.4"/>
  <cols>
    <col min="1" max="1" width="1.109375" style="65" customWidth="1"/>
    <col min="2" max="4" width="8.77734375" style="65"/>
    <col min="5" max="5" width="16.21875" style="65" customWidth="1"/>
    <col min="6" max="6" width="18.33203125" style="65" hidden="1" customWidth="1"/>
    <col min="7" max="7" width="2.109375" style="65" customWidth="1"/>
    <col min="8" max="8" width="1.6640625" style="65" customWidth="1"/>
    <col min="9" max="9" width="19.6640625" style="65" customWidth="1"/>
    <col min="10" max="12" width="10.21875" style="65" customWidth="1"/>
    <col min="13" max="13" width="15.21875" style="65" customWidth="1"/>
    <col min="14" max="14" width="12" style="65" hidden="1" customWidth="1"/>
    <col min="15" max="15" width="14.5546875" style="65" hidden="1" customWidth="1"/>
    <col min="16" max="16" width="11.109375" style="65" hidden="1" customWidth="1"/>
    <col min="17" max="18" width="1.109375" style="65" customWidth="1"/>
    <col min="19" max="19" width="11.77734375" style="65" customWidth="1"/>
    <col min="20" max="20" width="13.21875" style="65" customWidth="1"/>
    <col min="21" max="21" width="12.21875" style="65" customWidth="1"/>
    <col min="22" max="22" width="17.21875" style="65" customWidth="1"/>
    <col min="23" max="24" width="14.77734375" style="65" customWidth="1"/>
    <col min="25" max="25" width="71.88671875" style="65" customWidth="1"/>
    <col min="26" max="26" width="13.5546875" style="65" customWidth="1"/>
    <col min="27" max="28" width="1" style="65" customWidth="1"/>
    <col min="29" max="16384" width="8.77734375" style="65"/>
  </cols>
  <sheetData>
    <row r="1" spans="2:26" ht="7.5" customHeight="1"/>
    <row r="2" spans="2:26" ht="15" thickBot="1"/>
    <row r="3" spans="2:26" ht="15" thickBot="1">
      <c r="B3" s="311" t="s">
        <v>573</v>
      </c>
      <c r="C3" s="312"/>
      <c r="D3" s="312"/>
      <c r="E3" s="313"/>
      <c r="I3" s="314" t="s">
        <v>574</v>
      </c>
      <c r="J3" s="315"/>
      <c r="K3" s="315"/>
      <c r="L3" s="316"/>
      <c r="M3" s="66"/>
      <c r="S3" s="311" t="s">
        <v>575</v>
      </c>
      <c r="T3" s="312"/>
      <c r="U3" s="312"/>
      <c r="V3" s="312"/>
      <c r="W3" s="312"/>
      <c r="X3" s="312"/>
      <c r="Y3" s="313"/>
      <c r="Z3" s="66"/>
    </row>
    <row r="4" spans="2:26" s="67" customFormat="1" ht="15" thickBot="1">
      <c r="B4" s="68" t="s">
        <v>579</v>
      </c>
      <c r="C4" s="69" t="s">
        <v>578</v>
      </c>
      <c r="D4" s="69" t="s">
        <v>580</v>
      </c>
      <c r="E4" s="70" t="s">
        <v>581</v>
      </c>
      <c r="I4" s="71" t="s">
        <v>576</v>
      </c>
      <c r="J4" s="72" t="s">
        <v>579</v>
      </c>
      <c r="K4" s="72" t="s">
        <v>578</v>
      </c>
      <c r="L4" s="73" t="s">
        <v>580</v>
      </c>
      <c r="M4" s="74" t="s">
        <v>1107</v>
      </c>
      <c r="S4" s="75" t="s">
        <v>582</v>
      </c>
      <c r="T4" s="76" t="s">
        <v>583</v>
      </c>
      <c r="U4" s="76" t="s">
        <v>584</v>
      </c>
      <c r="V4" s="77" t="s">
        <v>579</v>
      </c>
      <c r="W4" s="77" t="s">
        <v>578</v>
      </c>
      <c r="X4" s="77" t="s">
        <v>1116</v>
      </c>
      <c r="Y4" s="77" t="s">
        <v>585</v>
      </c>
      <c r="Z4" s="74"/>
    </row>
    <row r="5" spans="2:26">
      <c r="B5" s="81">
        <v>2003</v>
      </c>
      <c r="C5" s="78">
        <v>2</v>
      </c>
      <c r="D5" s="78">
        <v>17</v>
      </c>
      <c r="E5" s="82">
        <f>DATE(B5,C5,D5)</f>
        <v>37669</v>
      </c>
      <c r="F5" s="83" t="s">
        <v>586</v>
      </c>
      <c r="I5" s="84">
        <v>38330</v>
      </c>
      <c r="J5" s="85">
        <f>YEAR(I5)</f>
        <v>2004</v>
      </c>
      <c r="K5" s="85">
        <f>MONTH(I5)</f>
        <v>12</v>
      </c>
      <c r="L5" s="85">
        <f>DAY(I5)</f>
        <v>9</v>
      </c>
      <c r="M5" s="86">
        <f>DATE(J5,K5,L5)</f>
        <v>38330</v>
      </c>
      <c r="N5" s="87" t="s">
        <v>587</v>
      </c>
      <c r="O5" s="87" t="s">
        <v>588</v>
      </c>
      <c r="P5" s="87" t="s">
        <v>589</v>
      </c>
      <c r="S5" s="88" t="s">
        <v>590</v>
      </c>
      <c r="T5" s="89">
        <v>25292</v>
      </c>
      <c r="U5" s="89">
        <f ca="1">TODAY()</f>
        <v>46251</v>
      </c>
      <c r="V5" s="90">
        <f ca="1">DATEDIF(T5,U5,"y")</f>
        <v>57</v>
      </c>
      <c r="W5" s="90">
        <f ca="1">DATEDIF(T5,U5,"YM")</f>
        <v>4</v>
      </c>
      <c r="X5" s="90">
        <f ca="1">DATEDIF(T5,U5,"MD")</f>
        <v>18</v>
      </c>
      <c r="Y5" s="90" t="str">
        <f ca="1">S5&amp;" is "&amp;V5&amp;"  years "&amp;W5 &amp;" months and " &amp;X5&amp;" days old"</f>
        <v>Fletcher is 57  years 4 months and 18 days old</v>
      </c>
      <c r="Z5" s="91" t="s">
        <v>591</v>
      </c>
    </row>
    <row r="6" spans="2:26">
      <c r="B6" s="93">
        <v>2001</v>
      </c>
      <c r="C6" s="92">
        <v>2</v>
      </c>
      <c r="D6" s="92">
        <v>28</v>
      </c>
      <c r="E6" s="82">
        <f t="shared" ref="E6:E13" si="0">DATE(B6,C6,D6)</f>
        <v>36950</v>
      </c>
      <c r="F6" s="83" t="s">
        <v>592</v>
      </c>
      <c r="I6" s="84">
        <v>37590</v>
      </c>
      <c r="J6" s="85">
        <f t="shared" ref="J6:J13" si="1">YEAR(I6)</f>
        <v>2002</v>
      </c>
      <c r="K6" s="85">
        <f t="shared" ref="K6:K13" si="2">MONTH(I6)</f>
        <v>11</v>
      </c>
      <c r="L6" s="85">
        <f t="shared" ref="L6:L13" si="3">DAY(I6)</f>
        <v>30</v>
      </c>
      <c r="M6" s="86">
        <f t="shared" ref="M6:M13" si="4">DATE(J6,K6,L6)</f>
        <v>37590</v>
      </c>
      <c r="N6" s="87" t="s">
        <v>593</v>
      </c>
      <c r="O6" s="87" t="s">
        <v>594</v>
      </c>
      <c r="P6" s="87" t="s">
        <v>595</v>
      </c>
      <c r="S6" s="94" t="s">
        <v>596</v>
      </c>
      <c r="T6" s="84">
        <v>25295</v>
      </c>
      <c r="U6" s="89">
        <f t="shared" ref="U6:U13" ca="1" si="5">TODAY()</f>
        <v>46251</v>
      </c>
      <c r="V6" s="90">
        <f t="shared" ref="V6:V13" ca="1" si="6">DATEDIF(T6,U6,"y")</f>
        <v>57</v>
      </c>
      <c r="W6" s="90">
        <f t="shared" ref="W6:W13" ca="1" si="7">DATEDIF(T6,U6,"YM")</f>
        <v>4</v>
      </c>
      <c r="X6" s="90">
        <f t="shared" ref="X6:X13" ca="1" si="8">DATEDIF(T6,U6,"MD")</f>
        <v>15</v>
      </c>
      <c r="Y6" s="90" t="str">
        <f t="shared" ref="Y6:Y13" ca="1" si="9">S6&amp;" is "&amp;V6&amp;"  years "&amp;W6 &amp;" months and " &amp;X6&amp;" days old"</f>
        <v>Stone is 57  years 4 months and 15 days old</v>
      </c>
      <c r="Z6" s="91" t="s">
        <v>597</v>
      </c>
    </row>
    <row r="7" spans="2:26">
      <c r="B7" s="93">
        <v>2002</v>
      </c>
      <c r="C7" s="92">
        <v>5</v>
      </c>
      <c r="D7" s="92">
        <v>19</v>
      </c>
      <c r="E7" s="82">
        <f t="shared" si="0"/>
        <v>37395</v>
      </c>
      <c r="F7" s="83" t="s">
        <v>598</v>
      </c>
      <c r="I7" s="84">
        <v>37773</v>
      </c>
      <c r="J7" s="85">
        <f t="shared" si="1"/>
        <v>2003</v>
      </c>
      <c r="K7" s="85">
        <f t="shared" si="2"/>
        <v>6</v>
      </c>
      <c r="L7" s="85">
        <f t="shared" si="3"/>
        <v>1</v>
      </c>
      <c r="M7" s="86">
        <f t="shared" si="4"/>
        <v>37773</v>
      </c>
      <c r="N7" s="87" t="s">
        <v>599</v>
      </c>
      <c r="O7" s="87" t="s">
        <v>600</v>
      </c>
      <c r="P7" s="87" t="s">
        <v>601</v>
      </c>
      <c r="S7" s="94" t="s">
        <v>602</v>
      </c>
      <c r="T7" s="84">
        <v>20713</v>
      </c>
      <c r="U7" s="89">
        <f t="shared" ca="1" si="5"/>
        <v>46251</v>
      </c>
      <c r="V7" s="90">
        <f t="shared" ca="1" si="6"/>
        <v>69</v>
      </c>
      <c r="W7" s="90">
        <f t="shared" ca="1" si="7"/>
        <v>11</v>
      </c>
      <c r="X7" s="90">
        <f t="shared" ca="1" si="8"/>
        <v>2</v>
      </c>
      <c r="Y7" s="90" t="str">
        <f t="shared" ca="1" si="9"/>
        <v>Kerry is 69  years 11 months and 2 days old</v>
      </c>
      <c r="Z7" s="91" t="s">
        <v>603</v>
      </c>
    </row>
    <row r="8" spans="2:26">
      <c r="B8" s="93">
        <v>2000</v>
      </c>
      <c r="C8" s="92">
        <v>3</v>
      </c>
      <c r="D8" s="92">
        <v>30</v>
      </c>
      <c r="E8" s="82">
        <f t="shared" si="0"/>
        <v>36615</v>
      </c>
      <c r="F8" s="83" t="s">
        <v>604</v>
      </c>
      <c r="I8" s="95" t="s">
        <v>605</v>
      </c>
      <c r="J8" s="85">
        <f t="shared" si="1"/>
        <v>1999</v>
      </c>
      <c r="K8" s="85">
        <f t="shared" si="2"/>
        <v>1</v>
      </c>
      <c r="L8" s="85">
        <f t="shared" si="3"/>
        <v>1</v>
      </c>
      <c r="M8" s="86">
        <f t="shared" si="4"/>
        <v>36161</v>
      </c>
      <c r="N8" s="87" t="s">
        <v>606</v>
      </c>
      <c r="O8" s="87" t="s">
        <v>607</v>
      </c>
      <c r="P8" s="87" t="s">
        <v>608</v>
      </c>
      <c r="S8" s="94" t="s">
        <v>609</v>
      </c>
      <c r="T8" s="84">
        <v>26191</v>
      </c>
      <c r="U8" s="89">
        <f t="shared" ca="1" si="5"/>
        <v>46251</v>
      </c>
      <c r="V8" s="90">
        <f t="shared" ca="1" si="6"/>
        <v>54</v>
      </c>
      <c r="W8" s="90">
        <f t="shared" ca="1" si="7"/>
        <v>11</v>
      </c>
      <c r="X8" s="90">
        <f t="shared" ca="1" si="8"/>
        <v>2</v>
      </c>
      <c r="Y8" s="90" t="str">
        <f t="shared" ca="1" si="9"/>
        <v>Butler is 54  years 11 months and 2 days old</v>
      </c>
      <c r="Z8" s="91" t="s">
        <v>610</v>
      </c>
    </row>
    <row r="9" spans="2:26">
      <c r="B9" s="93">
        <v>2003</v>
      </c>
      <c r="C9" s="92">
        <v>10</v>
      </c>
      <c r="D9" s="92">
        <v>21</v>
      </c>
      <c r="E9" s="82">
        <f t="shared" si="0"/>
        <v>37915</v>
      </c>
      <c r="F9" s="83" t="s">
        <v>611</v>
      </c>
      <c r="I9" s="95" t="s">
        <v>612</v>
      </c>
      <c r="J9" s="85">
        <f t="shared" si="1"/>
        <v>2005</v>
      </c>
      <c r="K9" s="85">
        <f t="shared" si="2"/>
        <v>12</v>
      </c>
      <c r="L9" s="85">
        <f t="shared" si="3"/>
        <v>1</v>
      </c>
      <c r="M9" s="86">
        <f t="shared" si="4"/>
        <v>38687</v>
      </c>
      <c r="N9" s="87" t="s">
        <v>613</v>
      </c>
      <c r="O9" s="87" t="s">
        <v>614</v>
      </c>
      <c r="P9" s="87" t="s">
        <v>615</v>
      </c>
      <c r="S9" s="94" t="s">
        <v>616</v>
      </c>
      <c r="T9" s="84">
        <v>28402</v>
      </c>
      <c r="U9" s="89">
        <f t="shared" ca="1" si="5"/>
        <v>46251</v>
      </c>
      <c r="V9" s="90">
        <f t="shared" ca="1" si="6"/>
        <v>48</v>
      </c>
      <c r="W9" s="90">
        <f t="shared" ca="1" si="7"/>
        <v>10</v>
      </c>
      <c r="X9" s="90">
        <f t="shared" ca="1" si="8"/>
        <v>13</v>
      </c>
      <c r="Y9" s="90" t="str">
        <f t="shared" ca="1" si="9"/>
        <v>Smith is 48  years 10 months and 13 days old</v>
      </c>
      <c r="Z9" s="91" t="s">
        <v>617</v>
      </c>
    </row>
    <row r="10" spans="2:26">
      <c r="B10" s="93">
        <v>2001</v>
      </c>
      <c r="C10" s="92">
        <v>4</v>
      </c>
      <c r="D10" s="92">
        <v>12</v>
      </c>
      <c r="E10" s="82">
        <f t="shared" si="0"/>
        <v>36993</v>
      </c>
      <c r="F10" s="83" t="s">
        <v>618</v>
      </c>
      <c r="I10" s="84">
        <f ca="1">TODAY()</f>
        <v>46251</v>
      </c>
      <c r="J10" s="85">
        <f t="shared" ca="1" si="1"/>
        <v>2026</v>
      </c>
      <c r="K10" s="85">
        <f t="shared" ca="1" si="2"/>
        <v>8</v>
      </c>
      <c r="L10" s="85">
        <f t="shared" ca="1" si="3"/>
        <v>17</v>
      </c>
      <c r="M10" s="86">
        <f t="shared" ca="1" si="4"/>
        <v>46251</v>
      </c>
      <c r="N10" s="87" t="s">
        <v>619</v>
      </c>
      <c r="O10" s="87" t="s">
        <v>620</v>
      </c>
      <c r="P10" s="87" t="s">
        <v>621</v>
      </c>
      <c r="S10" s="94" t="s">
        <v>622</v>
      </c>
      <c r="T10" s="84">
        <v>22578</v>
      </c>
      <c r="U10" s="89">
        <f t="shared" ca="1" si="5"/>
        <v>46251</v>
      </c>
      <c r="V10" s="90">
        <f t="shared" ca="1" si="6"/>
        <v>64</v>
      </c>
      <c r="W10" s="90">
        <f t="shared" ca="1" si="7"/>
        <v>9</v>
      </c>
      <c r="X10" s="90">
        <f t="shared" ca="1" si="8"/>
        <v>24</v>
      </c>
      <c r="Y10" s="90" t="str">
        <f t="shared" ca="1" si="9"/>
        <v>Miller is 64  years 9 months and 24 days old</v>
      </c>
      <c r="Z10" s="91" t="s">
        <v>623</v>
      </c>
    </row>
    <row r="11" spans="2:26">
      <c r="B11" s="93">
        <v>2004</v>
      </c>
      <c r="C11" s="92">
        <v>1</v>
      </c>
      <c r="D11" s="92">
        <v>2</v>
      </c>
      <c r="E11" s="82">
        <f t="shared" si="0"/>
        <v>37988</v>
      </c>
      <c r="F11" s="83" t="s">
        <v>624</v>
      </c>
      <c r="I11" s="96">
        <v>38297</v>
      </c>
      <c r="J11" s="85">
        <f t="shared" si="1"/>
        <v>2004</v>
      </c>
      <c r="K11" s="85">
        <f t="shared" si="2"/>
        <v>11</v>
      </c>
      <c r="L11" s="85">
        <f t="shared" si="3"/>
        <v>6</v>
      </c>
      <c r="M11" s="86">
        <f t="shared" si="4"/>
        <v>38297</v>
      </c>
      <c r="N11" s="87" t="s">
        <v>625</v>
      </c>
      <c r="O11" s="87" t="s">
        <v>626</v>
      </c>
      <c r="P11" s="87" t="s">
        <v>627</v>
      </c>
      <c r="S11" s="94" t="s">
        <v>628</v>
      </c>
      <c r="T11" s="84">
        <v>24421</v>
      </c>
      <c r="U11" s="89">
        <f t="shared" ca="1" si="5"/>
        <v>46251</v>
      </c>
      <c r="V11" s="90">
        <f t="shared" ca="1" si="6"/>
        <v>59</v>
      </c>
      <c r="W11" s="90">
        <f t="shared" ca="1" si="7"/>
        <v>9</v>
      </c>
      <c r="X11" s="90">
        <f t="shared" ca="1" si="8"/>
        <v>7</v>
      </c>
      <c r="Y11" s="90" t="str">
        <f t="shared" ca="1" si="9"/>
        <v>Brown is 59  years 9 months and 7 days old</v>
      </c>
      <c r="Z11" s="91" t="s">
        <v>629</v>
      </c>
    </row>
    <row r="12" spans="2:26">
      <c r="B12" s="93">
        <v>2004</v>
      </c>
      <c r="C12" s="92">
        <v>3</v>
      </c>
      <c r="D12" s="92">
        <v>21</v>
      </c>
      <c r="E12" s="82">
        <f t="shared" si="0"/>
        <v>38067</v>
      </c>
      <c r="F12" s="83" t="s">
        <v>630</v>
      </c>
      <c r="I12" s="97">
        <v>38751</v>
      </c>
      <c r="J12" s="85">
        <f t="shared" si="1"/>
        <v>2006</v>
      </c>
      <c r="K12" s="85">
        <f t="shared" si="2"/>
        <v>2</v>
      </c>
      <c r="L12" s="85">
        <f t="shared" si="3"/>
        <v>3</v>
      </c>
      <c r="M12" s="86">
        <f t="shared" si="4"/>
        <v>38751</v>
      </c>
      <c r="N12" s="87" t="s">
        <v>631</v>
      </c>
      <c r="O12" s="87" t="s">
        <v>632</v>
      </c>
      <c r="P12" s="87" t="s">
        <v>633</v>
      </c>
      <c r="S12" s="94" t="s">
        <v>634</v>
      </c>
      <c r="T12" s="84">
        <v>27717</v>
      </c>
      <c r="U12" s="89">
        <f t="shared" ca="1" si="5"/>
        <v>46251</v>
      </c>
      <c r="V12" s="90">
        <f t="shared" ca="1" si="6"/>
        <v>50</v>
      </c>
      <c r="W12" s="90">
        <f t="shared" ca="1" si="7"/>
        <v>8</v>
      </c>
      <c r="X12" s="90">
        <f t="shared" ca="1" si="8"/>
        <v>29</v>
      </c>
      <c r="Y12" s="90" t="str">
        <f t="shared" ca="1" si="9"/>
        <v>Wall is 50  years 8 months and 29 days old</v>
      </c>
      <c r="Z12" s="91" t="s">
        <v>635</v>
      </c>
    </row>
    <row r="13" spans="2:26" ht="15" thickBot="1">
      <c r="B13" s="98">
        <v>2003</v>
      </c>
      <c r="C13" s="99">
        <v>12</v>
      </c>
      <c r="D13" s="99">
        <v>28</v>
      </c>
      <c r="E13" s="82">
        <f t="shared" si="0"/>
        <v>37983</v>
      </c>
      <c r="F13" s="83" t="s">
        <v>636</v>
      </c>
      <c r="I13" s="84">
        <v>37876</v>
      </c>
      <c r="J13" s="85">
        <f t="shared" si="1"/>
        <v>2003</v>
      </c>
      <c r="K13" s="85">
        <f t="shared" si="2"/>
        <v>9</v>
      </c>
      <c r="L13" s="85">
        <f t="shared" si="3"/>
        <v>12</v>
      </c>
      <c r="M13" s="86">
        <f t="shared" si="4"/>
        <v>37876</v>
      </c>
      <c r="N13" s="87" t="s">
        <v>637</v>
      </c>
      <c r="O13" s="87" t="s">
        <v>638</v>
      </c>
      <c r="P13" s="87" t="s">
        <v>639</v>
      </c>
      <c r="S13" s="100" t="s">
        <v>640</v>
      </c>
      <c r="T13" s="101">
        <v>20049</v>
      </c>
      <c r="U13" s="89">
        <f t="shared" ca="1" si="5"/>
        <v>46251</v>
      </c>
      <c r="V13" s="90">
        <f t="shared" ca="1" si="6"/>
        <v>71</v>
      </c>
      <c r="W13" s="90">
        <f t="shared" ca="1" si="7"/>
        <v>8</v>
      </c>
      <c r="X13" s="90">
        <f t="shared" ca="1" si="8"/>
        <v>27</v>
      </c>
      <c r="Y13" s="90" t="str">
        <f t="shared" ca="1" si="9"/>
        <v>Denver is 71  years 8 months and 27 days old</v>
      </c>
      <c r="Z13" s="91" t="s">
        <v>641</v>
      </c>
    </row>
    <row r="14" spans="2:26">
      <c r="V14" s="79"/>
      <c r="W14" s="79"/>
      <c r="X14" s="79"/>
      <c r="Y14" s="79"/>
      <c r="Z14" s="79"/>
    </row>
    <row r="17" spans="2:25">
      <c r="U17" s="65" t="s">
        <v>642</v>
      </c>
      <c r="V17" s="65" t="s">
        <v>643</v>
      </c>
      <c r="W17" s="65" t="s">
        <v>643</v>
      </c>
      <c r="Y17" s="65" t="s">
        <v>643</v>
      </c>
    </row>
    <row r="18" spans="2:25">
      <c r="B18" s="65" t="s">
        <v>644</v>
      </c>
    </row>
    <row r="19" spans="2:25">
      <c r="U19" s="65" t="s">
        <v>1109</v>
      </c>
    </row>
    <row r="20" spans="2:25">
      <c r="J20" s="65" t="s">
        <v>1108</v>
      </c>
      <c r="U20" s="65" t="s">
        <v>1110</v>
      </c>
      <c r="W20" s="65" t="s">
        <v>1111</v>
      </c>
    </row>
    <row r="21" spans="2:25">
      <c r="U21" s="65" t="s">
        <v>1112</v>
      </c>
      <c r="W21" s="65" t="s">
        <v>1113</v>
      </c>
    </row>
    <row r="22" spans="2:25">
      <c r="U22" s="65" t="s">
        <v>1114</v>
      </c>
      <c r="W22" s="65" t="s">
        <v>1115</v>
      </c>
    </row>
  </sheetData>
  <mergeCells count="3">
    <mergeCell ref="S3:Y3"/>
    <mergeCell ref="B3:E3"/>
    <mergeCell ref="I3:L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DF077-797D-4FE4-8E46-50958E52D4A3}">
  <dimension ref="A1:A74"/>
  <sheetViews>
    <sheetView showOutlineSymbols="0" showWhiteSpace="0" topLeftCell="A12" workbookViewId="0"/>
  </sheetViews>
  <sheetFormatPr defaultRowHeight="14.4"/>
  <cols>
    <col min="1" max="1" width="179.77734375" customWidth="1"/>
  </cols>
  <sheetData>
    <row r="1" spans="1:1" ht="21">
      <c r="A1" s="18" t="s">
        <v>69</v>
      </c>
    </row>
    <row r="3" spans="1:1" ht="15.6">
      <c r="A3" s="17" t="s">
        <v>95</v>
      </c>
    </row>
    <row r="4" spans="1:1" ht="31.2">
      <c r="A4" s="3" t="s">
        <v>96</v>
      </c>
    </row>
    <row r="5" spans="1:1" ht="15.6">
      <c r="A5" s="3" t="s">
        <v>97</v>
      </c>
    </row>
    <row r="6" spans="1:1" ht="15.6">
      <c r="A6" s="3"/>
    </row>
    <row r="7" spans="1:1" ht="15.6">
      <c r="A7" s="1" t="s">
        <v>98</v>
      </c>
    </row>
    <row r="8" spans="1:1" ht="31.2">
      <c r="A8" s="3" t="s">
        <v>99</v>
      </c>
    </row>
    <row r="9" spans="1:1" ht="15.6">
      <c r="A9" s="3"/>
    </row>
    <row r="10" spans="1:1" ht="15.6">
      <c r="A10" s="1" t="s">
        <v>100</v>
      </c>
    </row>
    <row r="11" spans="1:1" ht="15.6">
      <c r="A11" s="3" t="s">
        <v>101</v>
      </c>
    </row>
    <row r="12" spans="1:1" ht="15.6">
      <c r="A12" s="1" t="s">
        <v>102</v>
      </c>
    </row>
    <row r="13" spans="1:1" ht="15.6">
      <c r="A13" s="1"/>
    </row>
    <row r="14" spans="1:1" ht="15.6">
      <c r="A14" s="2" t="s">
        <v>105</v>
      </c>
    </row>
    <row r="15" spans="1:1" ht="15.6">
      <c r="A15" s="3" t="s">
        <v>106</v>
      </c>
    </row>
    <row r="17" spans="1:1" ht="15.6">
      <c r="A17" s="17" t="s">
        <v>107</v>
      </c>
    </row>
    <row r="18" spans="1:1" ht="15.6">
      <c r="A18" s="3" t="s">
        <v>108</v>
      </c>
    </row>
    <row r="19" spans="1:1" ht="15.6">
      <c r="A19" s="2" t="s">
        <v>109</v>
      </c>
    </row>
    <row r="20" spans="1:1" ht="15.6">
      <c r="A20" s="1" t="s">
        <v>110</v>
      </c>
    </row>
    <row r="21" spans="1:1" ht="15.6">
      <c r="A21" s="1"/>
    </row>
    <row r="22" spans="1:1" ht="15.6">
      <c r="A22" s="2" t="s">
        <v>111</v>
      </c>
    </row>
    <row r="23" spans="1:1" ht="15.6">
      <c r="A23" s="3" t="s">
        <v>112</v>
      </c>
    </row>
    <row r="24" spans="1:1" ht="15.6">
      <c r="A24" s="15" t="s">
        <v>113</v>
      </c>
    </row>
    <row r="26" spans="1:1" ht="15.6">
      <c r="A26" s="3" t="s">
        <v>114</v>
      </c>
    </row>
    <row r="27" spans="1:1" ht="15.6">
      <c r="A27" s="2" t="s">
        <v>128</v>
      </c>
    </row>
    <row r="28" spans="1:1" ht="15.6">
      <c r="A28" s="3" t="s">
        <v>129</v>
      </c>
    </row>
    <row r="29" spans="1:1" ht="15.6">
      <c r="A29" s="3"/>
    </row>
    <row r="30" spans="1:1" ht="15.6">
      <c r="A30" s="2" t="s">
        <v>130</v>
      </c>
    </row>
    <row r="32" spans="1:1" ht="15.6">
      <c r="A32" s="17" t="s">
        <v>131</v>
      </c>
    </row>
    <row r="33" spans="1:1" ht="15.6">
      <c r="A33" s="3" t="s">
        <v>132</v>
      </c>
    </row>
    <row r="34" spans="1:1" ht="15.6">
      <c r="A34" s="1" t="s">
        <v>133</v>
      </c>
    </row>
    <row r="35" spans="1:1" ht="15.6">
      <c r="A35" s="1" t="s">
        <v>134</v>
      </c>
    </row>
    <row r="36" spans="1:1" ht="15.6">
      <c r="A36" s="1"/>
    </row>
    <row r="37" spans="1:1" ht="15.6">
      <c r="A37" s="3" t="s">
        <v>135</v>
      </c>
    </row>
    <row r="38" spans="1:1" ht="15.6">
      <c r="A38" s="1" t="s">
        <v>136</v>
      </c>
    </row>
    <row r="39" spans="1:1" ht="15.6">
      <c r="A39" s="1" t="s">
        <v>137</v>
      </c>
    </row>
    <row r="40" spans="1:1" ht="15.6">
      <c r="A40" s="1"/>
    </row>
    <row r="41" spans="1:1" ht="15.6">
      <c r="A41" s="2" t="s">
        <v>91</v>
      </c>
    </row>
    <row r="42" spans="1:1" ht="15.6">
      <c r="A42" s="3" t="s">
        <v>138</v>
      </c>
    </row>
    <row r="43" spans="1:1" ht="15.6">
      <c r="A43" s="2" t="s">
        <v>139</v>
      </c>
    </row>
    <row r="45" spans="1:1" ht="15.6">
      <c r="A45" s="17" t="s">
        <v>145</v>
      </c>
    </row>
    <row r="46" spans="1:1" ht="15.6">
      <c r="A46" s="3" t="s">
        <v>146</v>
      </c>
    </row>
    <row r="47" spans="1:1" ht="15.6">
      <c r="A47" s="1" t="s">
        <v>133</v>
      </c>
    </row>
    <row r="48" spans="1:1" ht="15.6">
      <c r="A48" s="1" t="s">
        <v>147</v>
      </c>
    </row>
    <row r="49" spans="1:1" ht="15.6">
      <c r="A49" s="3" t="s">
        <v>148</v>
      </c>
    </row>
    <row r="50" spans="1:1" ht="15.6">
      <c r="A50" s="3"/>
    </row>
    <row r="51" spans="1:1" ht="15.6">
      <c r="A51" s="1" t="s">
        <v>149</v>
      </c>
    </row>
    <row r="52" spans="1:1" ht="15.6">
      <c r="A52" s="1" t="s">
        <v>150</v>
      </c>
    </row>
    <row r="53" spans="1:1" ht="15.6">
      <c r="A53" s="1"/>
    </row>
    <row r="54" spans="1:1" ht="15.6">
      <c r="A54" s="2" t="s">
        <v>91</v>
      </c>
    </row>
    <row r="55" spans="1:1" ht="31.2">
      <c r="A55" s="3" t="s">
        <v>151</v>
      </c>
    </row>
    <row r="57" spans="1:1" ht="15.6">
      <c r="A57" s="17" t="s">
        <v>155</v>
      </c>
    </row>
    <row r="58" spans="1:1" ht="15.6">
      <c r="A58" s="3" t="s">
        <v>156</v>
      </c>
    </row>
    <row r="59" spans="1:1" ht="15.6">
      <c r="A59" s="1" t="s">
        <v>133</v>
      </c>
    </row>
    <row r="60" spans="1:1" ht="15.6">
      <c r="A60" s="1" t="s">
        <v>157</v>
      </c>
    </row>
    <row r="61" spans="1:1" ht="15.6">
      <c r="A61" s="3" t="s">
        <v>165</v>
      </c>
    </row>
    <row r="62" spans="1:1" ht="15.6">
      <c r="A62" s="3"/>
    </row>
    <row r="63" spans="1:1" ht="15.6">
      <c r="A63" s="1" t="s">
        <v>158</v>
      </c>
    </row>
    <row r="64" spans="1:1" ht="15.6">
      <c r="A64" s="1"/>
    </row>
    <row r="65" spans="1:1" ht="15.6">
      <c r="A65" s="2" t="s">
        <v>91</v>
      </c>
    </row>
    <row r="66" spans="1:1" ht="15.6">
      <c r="A66" s="3" t="s">
        <v>159</v>
      </c>
    </row>
    <row r="67" spans="1:1" ht="15.6">
      <c r="A67" s="1" t="s">
        <v>160</v>
      </c>
    </row>
    <row r="68" spans="1:1" ht="15.6">
      <c r="A68" s="1"/>
    </row>
    <row r="69" spans="1:1" ht="15.6">
      <c r="A69" s="2" t="s">
        <v>161</v>
      </c>
    </row>
    <row r="70" spans="1:1" ht="15.6">
      <c r="A70" s="3" t="s">
        <v>162</v>
      </c>
    </row>
    <row r="71" spans="1:1" ht="15.6">
      <c r="A71" s="3"/>
    </row>
    <row r="72" spans="1:1" ht="15.6">
      <c r="A72" s="1" t="s">
        <v>100</v>
      </c>
    </row>
    <row r="73" spans="1:1" ht="15.6">
      <c r="A73" s="3" t="s">
        <v>163</v>
      </c>
    </row>
    <row r="74" spans="1:1" ht="15.6">
      <c r="A74" s="2" t="s">
        <v>164</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C9B9B-DE50-414E-A160-D3F9C75CD0F0}">
  <sheetPr>
    <tabColor rgb="FFFFC000"/>
  </sheetPr>
  <dimension ref="A1:S59"/>
  <sheetViews>
    <sheetView tabSelected="1" showOutlineSymbols="0" showWhiteSpace="0" topLeftCell="B1" workbookViewId="0">
      <selection activeCell="L4" sqref="L4"/>
    </sheetView>
  </sheetViews>
  <sheetFormatPr defaultColWidth="8.77734375" defaultRowHeight="14.4"/>
  <cols>
    <col min="1" max="1" width="1.6640625" customWidth="1"/>
    <col min="2" max="2" width="8.6640625" bestFit="1" customWidth="1"/>
    <col min="3" max="3" width="11.21875" bestFit="1" customWidth="1"/>
    <col min="4" max="4" width="14.33203125" bestFit="1" customWidth="1"/>
    <col min="5" max="5" width="11.6640625" customWidth="1"/>
    <col min="6" max="6" width="18.88671875" bestFit="1" customWidth="1"/>
    <col min="7" max="7" width="13" bestFit="1" customWidth="1"/>
    <col min="8" max="9" width="9.5546875" bestFit="1" customWidth="1"/>
    <col min="10" max="10" width="7.88671875" bestFit="1" customWidth="1"/>
    <col min="11" max="11" width="3.33203125" customWidth="1"/>
    <col min="12" max="17" width="14.44140625" customWidth="1"/>
    <col min="18" max="18" width="21.88671875" bestFit="1" customWidth="1"/>
    <col min="19" max="19" width="47.6640625" bestFit="1" customWidth="1"/>
    <col min="20" max="20" width="14.77734375" customWidth="1"/>
    <col min="21" max="21" width="17.109375" customWidth="1"/>
    <col min="22" max="23" width="14.77734375" customWidth="1"/>
    <col min="24" max="24" width="19.21875" customWidth="1"/>
    <col min="25" max="25" width="21.21875" customWidth="1"/>
  </cols>
  <sheetData>
    <row r="1" spans="1:19" ht="6.9" customHeight="1">
      <c r="A1">
        <v>0</v>
      </c>
    </row>
    <row r="2" spans="1:19" s="240" customFormat="1" ht="15" thickBot="1">
      <c r="L2" s="241" t="s">
        <v>1045</v>
      </c>
      <c r="M2" s="241" t="s">
        <v>1045</v>
      </c>
      <c r="N2" s="241" t="s">
        <v>107</v>
      </c>
      <c r="O2" s="241" t="s">
        <v>131</v>
      </c>
      <c r="P2" s="241" t="s">
        <v>145</v>
      </c>
      <c r="Q2" s="241" t="s">
        <v>155</v>
      </c>
      <c r="R2" s="241" t="s">
        <v>1046</v>
      </c>
    </row>
    <row r="3" spans="1:19" ht="31.8" thickBot="1">
      <c r="B3" s="242" t="s">
        <v>1047</v>
      </c>
      <c r="C3" s="243" t="s">
        <v>244</v>
      </c>
      <c r="D3" s="243" t="s">
        <v>645</v>
      </c>
      <c r="E3" s="244" t="s">
        <v>1048</v>
      </c>
      <c r="F3" s="243" t="s">
        <v>199</v>
      </c>
      <c r="G3" s="243" t="s">
        <v>194</v>
      </c>
      <c r="H3" s="243" t="s">
        <v>19</v>
      </c>
      <c r="I3" s="243" t="s">
        <v>103</v>
      </c>
      <c r="J3" s="245" t="s">
        <v>104</v>
      </c>
      <c r="L3" s="242" t="s">
        <v>1049</v>
      </c>
      <c r="M3" s="242" t="s">
        <v>1050</v>
      </c>
      <c r="N3" s="243" t="s">
        <v>1051</v>
      </c>
      <c r="O3" s="243" t="s">
        <v>1052</v>
      </c>
      <c r="P3" s="243" t="s">
        <v>1053</v>
      </c>
      <c r="Q3" s="243" t="s">
        <v>1054</v>
      </c>
      <c r="R3" s="302" t="s">
        <v>1055</v>
      </c>
      <c r="S3" s="304" t="s">
        <v>1117</v>
      </c>
    </row>
    <row r="4" spans="1:19" ht="15.6">
      <c r="B4" s="246" t="s">
        <v>1056</v>
      </c>
      <c r="C4" s="247" t="s">
        <v>200</v>
      </c>
      <c r="D4" s="247" t="s">
        <v>647</v>
      </c>
      <c r="E4" s="247" t="s">
        <v>1057</v>
      </c>
      <c r="F4" s="247" t="s">
        <v>202</v>
      </c>
      <c r="G4" s="247" t="s">
        <v>201</v>
      </c>
      <c r="H4" s="248">
        <v>18000</v>
      </c>
      <c r="I4" s="249">
        <v>9000</v>
      </c>
      <c r="J4" s="250">
        <v>900</v>
      </c>
      <c r="L4" s="251">
        <f>IF(E4="Metro",0.5*H4,0.4*H4)</f>
        <v>7200</v>
      </c>
      <c r="M4" s="251">
        <f>IF(F4="Manager",0.25*H4,0.1*H4)</f>
        <v>4500</v>
      </c>
      <c r="N4" s="252">
        <f>IF(H4&lt;=25000,0.05*(H4),IF(H4&lt;=45000,0.1*(H4),IF(H4&lt;=60000,0.2*(H4),IF(H4&lt;=80000,0.3*(H4),0.4*(H4)))))</f>
        <v>900</v>
      </c>
      <c r="O4" s="252">
        <f>IF(AND(D4="Delhi",G4="Sales"),0.1*H4,0)</f>
        <v>0</v>
      </c>
      <c r="P4" s="252">
        <f>IF(OR(G4="Sales",G4="Marketing",G4="HRD"),0.5*H4,0.3*H4)</f>
        <v>5400</v>
      </c>
      <c r="Q4" s="253">
        <f>IF(NOT(G4="Marketing"),0.1*H4,)</f>
        <v>1800</v>
      </c>
      <c r="R4" s="303">
        <f>IF(AND(NOT(G4="Sales"),NOT(G4="Admin")),0.1*H4,)</f>
        <v>1800</v>
      </c>
      <c r="S4" s="257">
        <f>SUM(L4:R4)</f>
        <v>21600</v>
      </c>
    </row>
    <row r="5" spans="1:19" ht="15.6">
      <c r="B5" s="254" t="s">
        <v>1058</v>
      </c>
      <c r="C5" s="255" t="s">
        <v>203</v>
      </c>
      <c r="D5" s="255" t="s">
        <v>648</v>
      </c>
      <c r="E5" s="255" t="s">
        <v>1057</v>
      </c>
      <c r="F5" s="255" t="s">
        <v>204</v>
      </c>
      <c r="G5" s="255" t="s">
        <v>153</v>
      </c>
      <c r="H5" s="256">
        <v>13000</v>
      </c>
      <c r="I5" s="257">
        <v>6500</v>
      </c>
      <c r="J5" s="258">
        <v>650</v>
      </c>
      <c r="L5" s="251">
        <f t="shared" ref="L5:L15" si="0">IF(E5="Metro",0.5*H5,0.4*H5)</f>
        <v>5200</v>
      </c>
      <c r="M5" s="251">
        <f t="shared" ref="M5:M15" si="1">IF(F5="Manager",0.25*H5,0.1*H5)</f>
        <v>1300</v>
      </c>
      <c r="N5" s="252">
        <f>IF(H5&lt;=25000,0.05*(H5),IF(H5&lt;=45000,0.1*(H5),IF(H5&lt;=60000,0.2*(H5),IF(H5&lt;=80000,0.3*(H5),0.4*(H5)))))</f>
        <v>650</v>
      </c>
      <c r="O5" s="252">
        <f t="shared" ref="O5:O15" si="2">IF(AND(D5="Delhi",G5="Sales"),0.1*H5,0)</f>
        <v>0</v>
      </c>
      <c r="P5" s="252">
        <f>IF(OR(G5="Sales",G5="Marketing",G5="HRD"),0.5*H5,0.3*H5)</f>
        <v>6500</v>
      </c>
      <c r="Q5" s="253">
        <f t="shared" ref="Q5:Q15" si="3">IF(NOT(G5="Marketing"),0.1*H5,)</f>
        <v>0</v>
      </c>
      <c r="R5" s="303">
        <f t="shared" ref="R5:R15" si="4">IF(AND(NOT(G5="Sales"),NOT(G5="Admin")),0.1*H5,)</f>
        <v>1300</v>
      </c>
      <c r="S5" s="257">
        <f t="shared" ref="S5:S15" si="5">SUM(L5:R5)</f>
        <v>14950</v>
      </c>
    </row>
    <row r="6" spans="1:19" ht="15.6">
      <c r="B6" s="254" t="s">
        <v>1059</v>
      </c>
      <c r="C6" s="255" t="s">
        <v>205</v>
      </c>
      <c r="D6" s="255" t="s">
        <v>27</v>
      </c>
      <c r="E6" s="255" t="s">
        <v>1060</v>
      </c>
      <c r="F6" s="255" t="s">
        <v>202</v>
      </c>
      <c r="G6" s="255" t="s">
        <v>152</v>
      </c>
      <c r="H6" s="256">
        <v>16500</v>
      </c>
      <c r="I6" s="257">
        <v>8250</v>
      </c>
      <c r="J6" s="258">
        <v>825</v>
      </c>
      <c r="L6" s="251">
        <f t="shared" si="0"/>
        <v>8250</v>
      </c>
      <c r="M6" s="251">
        <f t="shared" si="1"/>
        <v>4125</v>
      </c>
      <c r="N6" s="252">
        <f t="shared" ref="N6:N15" si="6">IF(H6&lt;=25000,0.05*(H6),IF(H6&lt;=45000,0.1*(H6),IF(H6&lt;=60000,0.2*(H6),IF(H6&lt;=80000,0.3*(H6),0.4*(H6)))))</f>
        <v>825</v>
      </c>
      <c r="O6" s="252">
        <f t="shared" si="2"/>
        <v>1650</v>
      </c>
      <c r="P6" s="252">
        <f t="shared" ref="P6:P15" si="7">IF(OR(G6="Sales",G6="Marketing",G6="HRD"),0.5*H6,0.3*H6)</f>
        <v>8250</v>
      </c>
      <c r="Q6" s="253">
        <f t="shared" si="3"/>
        <v>1650</v>
      </c>
      <c r="R6" s="303">
        <f t="shared" si="4"/>
        <v>0</v>
      </c>
      <c r="S6" s="257">
        <f t="shared" si="5"/>
        <v>24750</v>
      </c>
    </row>
    <row r="7" spans="1:19" ht="15.6">
      <c r="B7" s="254" t="s">
        <v>1061</v>
      </c>
      <c r="C7" s="255" t="s">
        <v>206</v>
      </c>
      <c r="D7" s="255" t="s">
        <v>650</v>
      </c>
      <c r="E7" s="255" t="s">
        <v>1057</v>
      </c>
      <c r="F7" s="255" t="s">
        <v>207</v>
      </c>
      <c r="G7" s="255" t="s">
        <v>154</v>
      </c>
      <c r="H7" s="256">
        <v>8000</v>
      </c>
      <c r="I7" s="257">
        <v>4000</v>
      </c>
      <c r="J7" s="258">
        <v>400</v>
      </c>
      <c r="L7" s="251">
        <f t="shared" si="0"/>
        <v>3200</v>
      </c>
      <c r="M7" s="251">
        <f t="shared" si="1"/>
        <v>800</v>
      </c>
      <c r="N7" s="252">
        <f t="shared" si="6"/>
        <v>400</v>
      </c>
      <c r="O7" s="252">
        <f t="shared" si="2"/>
        <v>0</v>
      </c>
      <c r="P7" s="252">
        <f t="shared" si="7"/>
        <v>4000</v>
      </c>
      <c r="Q7" s="253">
        <f t="shared" si="3"/>
        <v>800</v>
      </c>
      <c r="R7" s="303">
        <f t="shared" si="4"/>
        <v>800</v>
      </c>
      <c r="S7" s="257">
        <f t="shared" si="5"/>
        <v>10000</v>
      </c>
    </row>
    <row r="8" spans="1:19" ht="15.6">
      <c r="B8" s="254" t="s">
        <v>1062</v>
      </c>
      <c r="C8" s="255" t="s">
        <v>208</v>
      </c>
      <c r="D8" s="255" t="s">
        <v>651</v>
      </c>
      <c r="E8" s="255" t="s">
        <v>1060</v>
      </c>
      <c r="F8" s="255" t="s">
        <v>255</v>
      </c>
      <c r="G8" s="255" t="s">
        <v>166</v>
      </c>
      <c r="H8" s="256">
        <v>55000</v>
      </c>
      <c r="I8" s="257">
        <v>27500</v>
      </c>
      <c r="J8" s="258">
        <v>2750</v>
      </c>
      <c r="L8" s="251">
        <f t="shared" si="0"/>
        <v>27500</v>
      </c>
      <c r="M8" s="251">
        <f t="shared" si="1"/>
        <v>5500</v>
      </c>
      <c r="N8" s="252">
        <f t="shared" si="6"/>
        <v>11000</v>
      </c>
      <c r="O8" s="252">
        <f t="shared" si="2"/>
        <v>0</v>
      </c>
      <c r="P8" s="252">
        <f t="shared" si="7"/>
        <v>16500</v>
      </c>
      <c r="Q8" s="253">
        <f t="shared" si="3"/>
        <v>5500</v>
      </c>
      <c r="R8" s="303">
        <f t="shared" si="4"/>
        <v>0</v>
      </c>
      <c r="S8" s="257">
        <f t="shared" si="5"/>
        <v>66000</v>
      </c>
    </row>
    <row r="9" spans="1:19" ht="15.6">
      <c r="B9" s="254" t="s">
        <v>1063</v>
      </c>
      <c r="C9" s="255" t="s">
        <v>209</v>
      </c>
      <c r="D9" s="255" t="s">
        <v>652</v>
      </c>
      <c r="E9" s="255" t="s">
        <v>1060</v>
      </c>
      <c r="F9" s="255" t="s">
        <v>257</v>
      </c>
      <c r="G9" s="255" t="s">
        <v>153</v>
      </c>
      <c r="H9" s="256">
        <v>72000</v>
      </c>
      <c r="I9" s="257">
        <v>36000</v>
      </c>
      <c r="J9" s="258">
        <v>3600</v>
      </c>
      <c r="L9" s="251">
        <f t="shared" si="0"/>
        <v>36000</v>
      </c>
      <c r="M9" s="251">
        <f t="shared" si="1"/>
        <v>7200</v>
      </c>
      <c r="N9" s="252">
        <f t="shared" si="6"/>
        <v>21600</v>
      </c>
      <c r="O9" s="252">
        <f t="shared" si="2"/>
        <v>0</v>
      </c>
      <c r="P9" s="252">
        <f t="shared" si="7"/>
        <v>36000</v>
      </c>
      <c r="Q9" s="253">
        <f t="shared" si="3"/>
        <v>0</v>
      </c>
      <c r="R9" s="303">
        <f t="shared" si="4"/>
        <v>7200</v>
      </c>
      <c r="S9" s="257">
        <f t="shared" si="5"/>
        <v>108000</v>
      </c>
    </row>
    <row r="10" spans="1:19" ht="15.6">
      <c r="B10" s="254" t="s">
        <v>1064</v>
      </c>
      <c r="C10" s="255" t="s">
        <v>246</v>
      </c>
      <c r="D10" s="255" t="s">
        <v>653</v>
      </c>
      <c r="E10" s="255" t="s">
        <v>1057</v>
      </c>
      <c r="F10" s="255" t="s">
        <v>256</v>
      </c>
      <c r="G10" s="255" t="s">
        <v>154</v>
      </c>
      <c r="H10" s="256">
        <v>40000</v>
      </c>
      <c r="I10" s="257">
        <v>20000</v>
      </c>
      <c r="J10" s="258">
        <v>2000</v>
      </c>
      <c r="L10" s="251">
        <f t="shared" si="0"/>
        <v>16000</v>
      </c>
      <c r="M10" s="251">
        <f t="shared" si="1"/>
        <v>4000</v>
      </c>
      <c r="N10" s="252">
        <f t="shared" si="6"/>
        <v>4000</v>
      </c>
      <c r="O10" s="252">
        <f t="shared" si="2"/>
        <v>0</v>
      </c>
      <c r="P10" s="252">
        <f t="shared" si="7"/>
        <v>20000</v>
      </c>
      <c r="Q10" s="253">
        <f t="shared" si="3"/>
        <v>4000</v>
      </c>
      <c r="R10" s="303">
        <f t="shared" si="4"/>
        <v>4000</v>
      </c>
      <c r="S10" s="257">
        <f t="shared" si="5"/>
        <v>52000</v>
      </c>
    </row>
    <row r="11" spans="1:19" ht="15.6">
      <c r="B11" s="254" t="s">
        <v>1065</v>
      </c>
      <c r="C11" s="255" t="s">
        <v>247</v>
      </c>
      <c r="D11" s="255" t="s">
        <v>27</v>
      </c>
      <c r="E11" s="255" t="s">
        <v>1060</v>
      </c>
      <c r="F11" s="255" t="s">
        <v>202</v>
      </c>
      <c r="G11" s="255" t="s">
        <v>152</v>
      </c>
      <c r="H11" s="256">
        <v>15900</v>
      </c>
      <c r="I11" s="257">
        <v>7950</v>
      </c>
      <c r="J11" s="258">
        <v>795</v>
      </c>
      <c r="L11" s="251">
        <f t="shared" si="0"/>
        <v>7950</v>
      </c>
      <c r="M11" s="251">
        <f t="shared" si="1"/>
        <v>3975</v>
      </c>
      <c r="N11" s="252">
        <f t="shared" si="6"/>
        <v>795</v>
      </c>
      <c r="O11" s="252">
        <f t="shared" si="2"/>
        <v>1590</v>
      </c>
      <c r="P11" s="252">
        <f t="shared" si="7"/>
        <v>7950</v>
      </c>
      <c r="Q11" s="253">
        <f t="shared" si="3"/>
        <v>1590</v>
      </c>
      <c r="R11" s="303">
        <f t="shared" si="4"/>
        <v>0</v>
      </c>
      <c r="S11" s="257">
        <f t="shared" si="5"/>
        <v>23850</v>
      </c>
    </row>
    <row r="12" spans="1:19" ht="15.6">
      <c r="B12" s="254" t="s">
        <v>1066</v>
      </c>
      <c r="C12" s="255" t="s">
        <v>248</v>
      </c>
      <c r="D12" s="255" t="s">
        <v>649</v>
      </c>
      <c r="E12" s="255" t="s">
        <v>1060</v>
      </c>
      <c r="F12" s="255" t="s">
        <v>258</v>
      </c>
      <c r="G12" s="255" t="s">
        <v>166</v>
      </c>
      <c r="H12" s="256">
        <v>91000</v>
      </c>
      <c r="I12" s="257">
        <v>45500</v>
      </c>
      <c r="J12" s="258">
        <v>4550</v>
      </c>
      <c r="L12" s="251">
        <f t="shared" si="0"/>
        <v>45500</v>
      </c>
      <c r="M12" s="251">
        <f t="shared" si="1"/>
        <v>9100</v>
      </c>
      <c r="N12" s="252">
        <f t="shared" si="6"/>
        <v>36400</v>
      </c>
      <c r="O12" s="252">
        <f t="shared" si="2"/>
        <v>0</v>
      </c>
      <c r="P12" s="252">
        <f t="shared" si="7"/>
        <v>27300</v>
      </c>
      <c r="Q12" s="253">
        <f t="shared" si="3"/>
        <v>9100</v>
      </c>
      <c r="R12" s="303">
        <f t="shared" si="4"/>
        <v>0</v>
      </c>
      <c r="S12" s="257">
        <f t="shared" si="5"/>
        <v>127400</v>
      </c>
    </row>
    <row r="13" spans="1:19" ht="15.6">
      <c r="B13" s="254" t="s">
        <v>1067</v>
      </c>
      <c r="C13" s="255" t="s">
        <v>249</v>
      </c>
      <c r="D13" s="255" t="s">
        <v>27</v>
      </c>
      <c r="E13" s="255" t="s">
        <v>1060</v>
      </c>
      <c r="F13" s="255" t="s">
        <v>255</v>
      </c>
      <c r="G13" s="255" t="s">
        <v>201</v>
      </c>
      <c r="H13" s="256">
        <v>60500</v>
      </c>
      <c r="I13" s="257">
        <v>30250</v>
      </c>
      <c r="J13" s="258">
        <v>3025</v>
      </c>
      <c r="L13" s="251">
        <f t="shared" si="0"/>
        <v>30250</v>
      </c>
      <c r="M13" s="251">
        <f t="shared" si="1"/>
        <v>6050</v>
      </c>
      <c r="N13" s="252">
        <f t="shared" si="6"/>
        <v>18150</v>
      </c>
      <c r="O13" s="252">
        <f t="shared" si="2"/>
        <v>0</v>
      </c>
      <c r="P13" s="252">
        <f t="shared" si="7"/>
        <v>18150</v>
      </c>
      <c r="Q13" s="253">
        <f t="shared" si="3"/>
        <v>6050</v>
      </c>
      <c r="R13" s="303">
        <f t="shared" si="4"/>
        <v>6050</v>
      </c>
      <c r="S13" s="257">
        <f t="shared" si="5"/>
        <v>84700</v>
      </c>
    </row>
    <row r="14" spans="1:19" ht="15.6">
      <c r="B14" s="254" t="s">
        <v>1068</v>
      </c>
      <c r="C14" s="255" t="s">
        <v>250</v>
      </c>
      <c r="D14" s="255" t="s">
        <v>651</v>
      </c>
      <c r="E14" s="255" t="s">
        <v>1057</v>
      </c>
      <c r="F14" s="255" t="s">
        <v>207</v>
      </c>
      <c r="G14" s="255" t="s">
        <v>152</v>
      </c>
      <c r="H14" s="256">
        <v>7000</v>
      </c>
      <c r="I14" s="257">
        <v>3500</v>
      </c>
      <c r="J14" s="258">
        <v>350</v>
      </c>
      <c r="L14" s="251">
        <f t="shared" si="0"/>
        <v>2800</v>
      </c>
      <c r="M14" s="251">
        <f t="shared" si="1"/>
        <v>700</v>
      </c>
      <c r="N14" s="252">
        <f t="shared" si="6"/>
        <v>350</v>
      </c>
      <c r="O14" s="252">
        <f t="shared" si="2"/>
        <v>0</v>
      </c>
      <c r="P14" s="252">
        <f t="shared" si="7"/>
        <v>3500</v>
      </c>
      <c r="Q14" s="253">
        <f t="shared" si="3"/>
        <v>700</v>
      </c>
      <c r="R14" s="303">
        <f t="shared" si="4"/>
        <v>0</v>
      </c>
      <c r="S14" s="257">
        <f t="shared" si="5"/>
        <v>8050</v>
      </c>
    </row>
    <row r="15" spans="1:19" ht="16.2" thickBot="1">
      <c r="B15" s="259" t="s">
        <v>1069</v>
      </c>
      <c r="C15" s="260" t="s">
        <v>251</v>
      </c>
      <c r="D15" s="261" t="s">
        <v>652</v>
      </c>
      <c r="E15" s="261" t="s">
        <v>1060</v>
      </c>
      <c r="F15" s="261" t="s">
        <v>202</v>
      </c>
      <c r="G15" s="261" t="s">
        <v>245</v>
      </c>
      <c r="H15" s="262">
        <v>15000</v>
      </c>
      <c r="I15" s="263">
        <v>7500</v>
      </c>
      <c r="J15" s="264">
        <v>750</v>
      </c>
      <c r="L15" s="251">
        <f t="shared" si="0"/>
        <v>7500</v>
      </c>
      <c r="M15" s="251">
        <f t="shared" si="1"/>
        <v>3750</v>
      </c>
      <c r="N15" s="252">
        <f t="shared" si="6"/>
        <v>750</v>
      </c>
      <c r="O15" s="252">
        <f t="shared" si="2"/>
        <v>0</v>
      </c>
      <c r="P15" s="252">
        <f t="shared" si="7"/>
        <v>4500</v>
      </c>
      <c r="Q15" s="253">
        <f t="shared" si="3"/>
        <v>1500</v>
      </c>
      <c r="R15" s="303">
        <f t="shared" si="4"/>
        <v>1500</v>
      </c>
      <c r="S15" s="257">
        <f t="shared" si="5"/>
        <v>19500</v>
      </c>
    </row>
    <row r="16" spans="1:19" ht="16.2" thickBot="1">
      <c r="B16" s="318" t="s">
        <v>1070</v>
      </c>
      <c r="C16" s="319"/>
      <c r="D16" s="319"/>
      <c r="E16" s="319"/>
      <c r="F16" s="319"/>
      <c r="G16" s="319"/>
      <c r="H16" s="265">
        <f>SUM(H4:H15)</f>
        <v>411900</v>
      </c>
      <c r="I16" s="265">
        <f>SUM(I4:I15)</f>
        <v>205950</v>
      </c>
      <c r="J16" s="266">
        <f>SUM(J4:J15)</f>
        <v>20595</v>
      </c>
      <c r="L16" s="267">
        <f t="shared" ref="L16:R16" si="8">SUM(L4:L15)</f>
        <v>197350</v>
      </c>
      <c r="M16" s="267">
        <f t="shared" si="8"/>
        <v>51000</v>
      </c>
      <c r="N16" s="268">
        <f t="shared" si="8"/>
        <v>95820</v>
      </c>
      <c r="O16" s="268">
        <f t="shared" si="8"/>
        <v>3240</v>
      </c>
      <c r="P16" s="306">
        <f t="shared" si="8"/>
        <v>158050</v>
      </c>
      <c r="Q16" s="269">
        <f t="shared" si="8"/>
        <v>32690</v>
      </c>
      <c r="R16" s="269">
        <f t="shared" si="8"/>
        <v>22650</v>
      </c>
    </row>
    <row r="17" spans="2:17" ht="11.85" customHeight="1"/>
    <row r="18" spans="2:17" ht="15.6">
      <c r="B18" s="270" t="s">
        <v>1071</v>
      </c>
      <c r="C18" s="271" t="s">
        <v>1072</v>
      </c>
      <c r="D18" s="272"/>
      <c r="E18" s="272"/>
      <c r="F18" s="273"/>
      <c r="G18" s="273"/>
      <c r="H18" s="273"/>
      <c r="I18" s="273"/>
      <c r="J18" s="273"/>
      <c r="K18" s="273"/>
    </row>
    <row r="19" spans="2:17" s="38" customFormat="1" ht="37.5" customHeight="1">
      <c r="B19" s="274"/>
      <c r="C19" s="317" t="s">
        <v>1073</v>
      </c>
      <c r="D19" s="317"/>
      <c r="E19" s="317"/>
      <c r="F19" s="317"/>
      <c r="G19" s="317"/>
      <c r="H19" s="317"/>
      <c r="I19" s="317"/>
      <c r="J19" s="317"/>
      <c r="K19" s="270"/>
      <c r="N19" s="305"/>
      <c r="P19" s="305"/>
      <c r="Q19" s="305"/>
    </row>
    <row r="20" spans="2:17">
      <c r="B20" s="273"/>
      <c r="C20" s="273"/>
      <c r="D20" s="273"/>
      <c r="E20" s="273"/>
      <c r="F20" s="273"/>
      <c r="G20" s="273"/>
      <c r="H20" s="273"/>
      <c r="I20" s="273"/>
      <c r="J20" s="273"/>
      <c r="K20" s="273"/>
      <c r="N20" s="305"/>
      <c r="P20" s="305"/>
    </row>
    <row r="21" spans="2:17" ht="15.6">
      <c r="B21" s="270" t="s">
        <v>1071</v>
      </c>
      <c r="C21" s="271" t="s">
        <v>1072</v>
      </c>
      <c r="D21" s="272"/>
      <c r="E21" s="272"/>
      <c r="F21" s="273"/>
      <c r="G21" s="273"/>
      <c r="H21" s="273"/>
      <c r="I21" s="273"/>
      <c r="J21" s="273"/>
      <c r="K21" s="273"/>
      <c r="N21" s="305"/>
      <c r="P21" s="305"/>
    </row>
    <row r="22" spans="2:17" s="38" customFormat="1" ht="39" customHeight="1">
      <c r="B22" s="274"/>
      <c r="C22" s="317" t="s">
        <v>1074</v>
      </c>
      <c r="D22" s="317"/>
      <c r="E22" s="317"/>
      <c r="F22" s="317"/>
      <c r="G22" s="317"/>
      <c r="H22" s="317"/>
      <c r="I22" s="317"/>
      <c r="J22" s="317"/>
      <c r="K22" s="270"/>
      <c r="N22" s="305"/>
      <c r="P22" s="305"/>
    </row>
    <row r="23" spans="2:17" s="38" customFormat="1" ht="15.6">
      <c r="B23" s="274"/>
      <c r="C23" s="275"/>
      <c r="D23" s="270"/>
      <c r="E23" s="270"/>
      <c r="F23" s="270"/>
      <c r="G23" s="270"/>
      <c r="H23" s="270"/>
      <c r="I23" s="270"/>
      <c r="J23" s="270"/>
      <c r="K23" s="270"/>
      <c r="N23" s="305"/>
      <c r="P23" s="305"/>
    </row>
    <row r="24" spans="2:17">
      <c r="B24" s="270" t="s">
        <v>1075</v>
      </c>
      <c r="C24" s="276" t="s">
        <v>107</v>
      </c>
      <c r="D24" s="277"/>
      <c r="E24" s="277"/>
      <c r="F24" s="273"/>
      <c r="G24" s="273"/>
      <c r="H24" s="273"/>
      <c r="I24" s="273"/>
      <c r="J24" s="273"/>
      <c r="K24" s="273"/>
      <c r="N24" s="305"/>
      <c r="P24" s="305"/>
    </row>
    <row r="25" spans="2:17" s="38" customFormat="1" ht="63.75" customHeight="1" thickBot="1">
      <c r="B25" s="270"/>
      <c r="C25" s="317" t="s">
        <v>1076</v>
      </c>
      <c r="D25" s="317"/>
      <c r="E25" s="317"/>
      <c r="F25" s="317"/>
      <c r="G25" s="317"/>
      <c r="H25" s="317"/>
      <c r="I25" s="317"/>
      <c r="J25" s="317"/>
      <c r="K25" s="270"/>
      <c r="N25" s="305"/>
      <c r="P25" s="305"/>
    </row>
    <row r="26" spans="2:17">
      <c r="B26" s="273"/>
      <c r="C26" s="273"/>
      <c r="D26" s="278" t="s">
        <v>1077</v>
      </c>
      <c r="E26" s="279">
        <v>0.05</v>
      </c>
      <c r="G26" s="273"/>
      <c r="H26" s="273"/>
      <c r="I26" s="273"/>
      <c r="J26" s="273"/>
      <c r="K26" s="273"/>
      <c r="N26" s="305"/>
      <c r="P26" s="305"/>
    </row>
    <row r="27" spans="2:17">
      <c r="B27" s="273"/>
      <c r="C27" s="273"/>
      <c r="D27" s="280" t="s">
        <v>1078</v>
      </c>
      <c r="E27" s="281">
        <v>0.1</v>
      </c>
      <c r="G27" s="273"/>
      <c r="H27" s="273"/>
      <c r="I27" s="273"/>
      <c r="J27" s="273"/>
      <c r="K27" s="273"/>
      <c r="P27" s="305"/>
    </row>
    <row r="28" spans="2:17">
      <c r="B28" s="273"/>
      <c r="C28" s="273"/>
      <c r="D28" s="280" t="s">
        <v>1079</v>
      </c>
      <c r="E28" s="281">
        <v>0.2</v>
      </c>
      <c r="G28" s="273"/>
      <c r="H28" s="273"/>
      <c r="I28" s="273"/>
      <c r="J28" s="273"/>
      <c r="K28" s="273"/>
      <c r="P28" s="305"/>
    </row>
    <row r="29" spans="2:17">
      <c r="B29" s="273"/>
      <c r="C29" s="273"/>
      <c r="D29" s="280" t="s">
        <v>1080</v>
      </c>
      <c r="E29" s="281">
        <v>0.3</v>
      </c>
      <c r="G29" s="273"/>
      <c r="H29" s="273"/>
      <c r="I29" s="273"/>
      <c r="J29" s="273"/>
      <c r="K29" s="273"/>
      <c r="P29" s="305"/>
    </row>
    <row r="30" spans="2:17" ht="15" thickBot="1">
      <c r="B30" s="273"/>
      <c r="C30" s="273"/>
      <c r="D30" s="282" t="s">
        <v>1081</v>
      </c>
      <c r="E30" s="283">
        <v>0.4</v>
      </c>
      <c r="G30" s="273"/>
      <c r="H30" s="273"/>
      <c r="I30" s="273"/>
      <c r="J30" s="273"/>
      <c r="K30" s="273"/>
      <c r="P30" s="305"/>
    </row>
    <row r="31" spans="2:17">
      <c r="B31" s="273"/>
      <c r="C31" s="273"/>
      <c r="D31" s="284"/>
      <c r="E31" s="284"/>
      <c r="F31" s="285"/>
      <c r="G31" s="273"/>
      <c r="H31" s="273"/>
      <c r="I31" s="273"/>
      <c r="J31" s="273"/>
      <c r="K31" s="273"/>
      <c r="P31" s="305"/>
    </row>
    <row r="32" spans="2:17">
      <c r="B32" s="270" t="s">
        <v>1082</v>
      </c>
      <c r="C32" s="276" t="s">
        <v>131</v>
      </c>
      <c r="D32" s="273"/>
      <c r="E32" s="273"/>
      <c r="F32" s="273"/>
      <c r="G32" s="273"/>
      <c r="H32" s="273"/>
      <c r="I32" s="273"/>
      <c r="J32" s="273"/>
      <c r="K32" s="273"/>
      <c r="P32" s="305"/>
    </row>
    <row r="33" spans="2:16" ht="37.5" customHeight="1">
      <c r="B33" s="273"/>
      <c r="C33" s="317" t="s">
        <v>1083</v>
      </c>
      <c r="D33" s="317"/>
      <c r="E33" s="317"/>
      <c r="F33" s="317"/>
      <c r="G33" s="317"/>
      <c r="H33" s="317"/>
      <c r="I33" s="317"/>
      <c r="J33" s="317"/>
      <c r="K33" s="273"/>
      <c r="P33" s="305"/>
    </row>
    <row r="34" spans="2:16">
      <c r="B34" s="273"/>
      <c r="C34" s="273"/>
      <c r="D34" s="273"/>
      <c r="E34" s="273"/>
      <c r="F34" s="273"/>
      <c r="G34" s="273"/>
      <c r="H34" s="273"/>
      <c r="I34" s="273"/>
      <c r="J34" s="273"/>
      <c r="K34" s="286"/>
      <c r="P34" s="305"/>
    </row>
    <row r="35" spans="2:16">
      <c r="B35" s="270" t="s">
        <v>1084</v>
      </c>
      <c r="C35" s="276" t="s">
        <v>145</v>
      </c>
      <c r="D35" s="273"/>
      <c r="E35" s="273"/>
      <c r="F35" s="273"/>
      <c r="G35" s="273"/>
      <c r="H35" s="273"/>
      <c r="I35" s="273"/>
      <c r="J35" s="273"/>
      <c r="K35" s="273"/>
      <c r="P35" s="305"/>
    </row>
    <row r="36" spans="2:16" s="38" customFormat="1" ht="42" customHeight="1">
      <c r="B36" s="270"/>
      <c r="C36" s="317" t="s">
        <v>1085</v>
      </c>
      <c r="D36" s="317"/>
      <c r="E36" s="317"/>
      <c r="F36" s="317"/>
      <c r="G36" s="317"/>
      <c r="H36" s="317"/>
      <c r="I36" s="317"/>
      <c r="J36" s="317"/>
      <c r="K36" s="270"/>
      <c r="P36" s="305"/>
    </row>
    <row r="37" spans="2:16">
      <c r="B37" s="273"/>
      <c r="C37" s="273"/>
      <c r="D37" s="270"/>
      <c r="E37" s="270"/>
      <c r="F37" s="270"/>
      <c r="G37" s="273"/>
      <c r="H37" s="273"/>
      <c r="I37" s="273"/>
      <c r="J37" s="273"/>
      <c r="K37" s="273"/>
      <c r="P37" s="305"/>
    </row>
    <row r="38" spans="2:16">
      <c r="B38" s="270" t="s">
        <v>1086</v>
      </c>
      <c r="C38" s="276" t="s">
        <v>155</v>
      </c>
      <c r="D38" s="273"/>
      <c r="E38" s="273"/>
      <c r="F38" s="273"/>
      <c r="G38" s="273"/>
      <c r="H38" s="273"/>
      <c r="I38" s="273"/>
      <c r="J38" s="273"/>
      <c r="K38" s="273"/>
      <c r="P38" s="305"/>
    </row>
    <row r="39" spans="2:16" s="38" customFormat="1" ht="33.75" customHeight="1">
      <c r="B39" s="270"/>
      <c r="C39" s="317" t="s">
        <v>1087</v>
      </c>
      <c r="D39" s="317"/>
      <c r="E39" s="317"/>
      <c r="F39" s="317"/>
      <c r="G39" s="317"/>
      <c r="H39" s="317"/>
      <c r="I39" s="317"/>
      <c r="J39" s="317"/>
      <c r="K39" s="270"/>
      <c r="P39" s="305"/>
    </row>
    <row r="40" spans="2:16">
      <c r="B40" s="273"/>
      <c r="C40" s="273"/>
      <c r="D40" s="270"/>
      <c r="E40" s="270"/>
      <c r="F40" s="270"/>
      <c r="G40" s="273"/>
      <c r="H40" s="273"/>
      <c r="I40" s="273"/>
      <c r="J40" s="273"/>
      <c r="K40" s="273"/>
      <c r="P40" s="305"/>
    </row>
    <row r="41" spans="2:16">
      <c r="B41" s="270" t="s">
        <v>1088</v>
      </c>
      <c r="C41" s="276" t="s">
        <v>1089</v>
      </c>
      <c r="D41" s="273"/>
      <c r="E41" s="273"/>
      <c r="F41" s="273"/>
      <c r="G41" s="273"/>
      <c r="H41" s="273"/>
      <c r="I41" s="273"/>
      <c r="J41" s="273"/>
      <c r="K41" s="273"/>
      <c r="P41" s="305"/>
    </row>
    <row r="42" spans="2:16" s="38" customFormat="1" ht="36" customHeight="1">
      <c r="B42" s="270"/>
      <c r="C42" s="317" t="s">
        <v>1090</v>
      </c>
      <c r="D42" s="317"/>
      <c r="E42" s="317"/>
      <c r="F42" s="317"/>
      <c r="G42" s="317"/>
      <c r="H42" s="317"/>
      <c r="I42" s="317"/>
      <c r="J42" s="317"/>
      <c r="K42" s="270"/>
      <c r="P42" s="305"/>
    </row>
    <row r="43" spans="2:16">
      <c r="B43" s="273"/>
      <c r="C43" s="273"/>
      <c r="D43" s="270"/>
      <c r="E43" s="270"/>
      <c r="F43" s="270"/>
      <c r="G43" s="273"/>
      <c r="H43" s="273"/>
      <c r="I43" s="273"/>
      <c r="J43" s="273"/>
      <c r="K43" s="273"/>
    </row>
    <row r="44" spans="2:16">
      <c r="B44" s="270" t="s">
        <v>1091</v>
      </c>
      <c r="C44" s="276" t="s">
        <v>107</v>
      </c>
      <c r="D44" s="273"/>
      <c r="E44" s="273"/>
      <c r="F44" s="273"/>
      <c r="G44" s="273"/>
      <c r="H44" s="273"/>
      <c r="I44" s="273"/>
      <c r="J44" s="273"/>
      <c r="K44" s="273"/>
    </row>
    <row r="45" spans="2:16" ht="15.6">
      <c r="B45" s="275"/>
      <c r="C45" s="317" t="s">
        <v>1092</v>
      </c>
      <c r="D45" s="317"/>
      <c r="E45" s="317"/>
      <c r="F45" s="317"/>
      <c r="G45" s="317"/>
      <c r="H45" s="317"/>
      <c r="I45" s="317"/>
      <c r="J45" s="317"/>
      <c r="K45" s="273"/>
    </row>
    <row r="46" spans="2:16">
      <c r="B46" s="273"/>
      <c r="C46" s="273"/>
      <c r="D46" s="273"/>
      <c r="E46" s="273"/>
      <c r="F46" s="273"/>
      <c r="G46" s="273"/>
      <c r="H46" s="273"/>
      <c r="I46" s="273"/>
      <c r="J46" s="273"/>
      <c r="K46" s="273"/>
    </row>
    <row r="47" spans="2:16" s="291" customFormat="1" ht="32.25" customHeight="1">
      <c r="B47" s="287"/>
      <c r="C47" s="288" t="s">
        <v>115</v>
      </c>
      <c r="D47" s="289" t="s">
        <v>116</v>
      </c>
      <c r="E47" s="290"/>
      <c r="F47" s="273"/>
      <c r="G47" s="288" t="s">
        <v>127</v>
      </c>
      <c r="H47" s="288" t="s">
        <v>660</v>
      </c>
      <c r="I47" s="287"/>
      <c r="J47" s="287"/>
      <c r="K47" s="287"/>
    </row>
    <row r="48" spans="2:16" s="14" customFormat="1" ht="27.6">
      <c r="B48" s="292"/>
      <c r="C48" s="293" t="s">
        <v>117</v>
      </c>
      <c r="D48" s="294" t="s">
        <v>118</v>
      </c>
      <c r="E48" s="295"/>
      <c r="F48" s="296"/>
      <c r="G48" s="297">
        <v>55</v>
      </c>
      <c r="H48" s="298" t="str">
        <f>IF(G48&lt;60,"F",IF(G48&lt;70,"D",IF(G48&lt;80,"C",IF(G48&lt;90,"B","A"))))</f>
        <v>F</v>
      </c>
      <c r="I48" s="292"/>
      <c r="J48" s="292"/>
      <c r="K48" s="292"/>
    </row>
    <row r="49" spans="2:11" s="14" customFormat="1" ht="27.6">
      <c r="B49" s="292"/>
      <c r="C49" s="293" t="s">
        <v>119</v>
      </c>
      <c r="D49" s="294" t="s">
        <v>120</v>
      </c>
      <c r="E49" s="295"/>
      <c r="F49" s="292"/>
      <c r="G49" s="297">
        <v>89</v>
      </c>
      <c r="H49" s="298" t="str">
        <f>IF(G49&lt;60,"F",IF(G49&lt;70,"D",IF(G49&lt;80,"C",IF(G49&lt;90,"B","A"))))</f>
        <v>B</v>
      </c>
      <c r="I49" s="292"/>
      <c r="J49" s="292"/>
      <c r="K49" s="292"/>
    </row>
    <row r="50" spans="2:11" s="14" customFormat="1" ht="27.6">
      <c r="B50" s="292"/>
      <c r="C50" s="293" t="s">
        <v>121</v>
      </c>
      <c r="D50" s="294" t="s">
        <v>122</v>
      </c>
      <c r="E50" s="295"/>
      <c r="F50" s="292"/>
      <c r="G50" s="297">
        <v>45</v>
      </c>
      <c r="H50" s="298" t="str">
        <f>IF(G50&lt;60,"F",IF(G50&lt;70,"D",IF(G50&lt;80,"C",IF(G50&lt;90,"B","A"))))</f>
        <v>F</v>
      </c>
      <c r="I50" s="292"/>
      <c r="J50" s="292"/>
      <c r="K50" s="292"/>
    </row>
    <row r="51" spans="2:11" s="14" customFormat="1" ht="33.75" customHeight="1">
      <c r="B51" s="292"/>
      <c r="C51" s="293" t="s">
        <v>123</v>
      </c>
      <c r="D51" s="294" t="s">
        <v>124</v>
      </c>
      <c r="E51" s="295"/>
      <c r="F51" s="292"/>
      <c r="G51" s="297">
        <v>99</v>
      </c>
      <c r="H51" s="298" t="str">
        <f>IF(G51&lt;60,"F",IF(G51&lt;70,"D",IF(G51&lt;80,"C",IF(G51&lt;90,"B","A"))))</f>
        <v>A</v>
      </c>
      <c r="I51" s="292"/>
      <c r="J51" s="292"/>
      <c r="K51" s="292"/>
    </row>
    <row r="52" spans="2:11" s="14" customFormat="1" ht="32.25" customHeight="1">
      <c r="B52" s="292"/>
      <c r="C52" s="293" t="s">
        <v>125</v>
      </c>
      <c r="D52" s="294" t="s">
        <v>126</v>
      </c>
      <c r="E52" s="295"/>
      <c r="F52" s="292"/>
      <c r="G52" s="297">
        <v>77</v>
      </c>
      <c r="H52" s="298" t="str">
        <f>IF(G52&lt;60,"F",IF(G52&lt;70,"D",IF(G52&lt;80,"C",IF(G52&lt;90,"B","A"))))</f>
        <v>C</v>
      </c>
      <c r="I52" s="292"/>
      <c r="J52" s="292"/>
      <c r="K52" s="292"/>
    </row>
    <row r="53" spans="2:11">
      <c r="B53" s="273"/>
      <c r="C53" s="273"/>
      <c r="F53" s="292"/>
      <c r="G53" s="273"/>
      <c r="H53" s="273"/>
      <c r="I53" s="273"/>
      <c r="J53" s="273"/>
      <c r="K53" s="273"/>
    </row>
    <row r="54" spans="2:11">
      <c r="D54" s="273"/>
      <c r="E54" s="273"/>
      <c r="F54" s="273"/>
    </row>
    <row r="55" spans="2:11">
      <c r="C55" s="293" t="s">
        <v>125</v>
      </c>
      <c r="D55" s="299" t="s">
        <v>1093</v>
      </c>
    </row>
    <row r="56" spans="2:11">
      <c r="C56" s="16"/>
      <c r="D56" s="299" t="s">
        <v>1094</v>
      </c>
    </row>
    <row r="57" spans="2:11">
      <c r="C57" s="16"/>
      <c r="D57" s="299" t="s">
        <v>1095</v>
      </c>
    </row>
    <row r="58" spans="2:11">
      <c r="C58" s="16"/>
      <c r="D58" s="299" t="s">
        <v>1096</v>
      </c>
    </row>
    <row r="59" spans="2:11">
      <c r="C59" s="16"/>
      <c r="D59" s="299" t="s">
        <v>1097</v>
      </c>
    </row>
  </sheetData>
  <mergeCells count="9">
    <mergeCell ref="C39:J39"/>
    <mergeCell ref="C42:J42"/>
    <mergeCell ref="C45:J45"/>
    <mergeCell ref="B16:G16"/>
    <mergeCell ref="C19:J19"/>
    <mergeCell ref="C22:J22"/>
    <mergeCell ref="C25:J25"/>
    <mergeCell ref="C33:J33"/>
    <mergeCell ref="C36:J3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A8014-5EFA-4A4D-991A-7B7FD71A04DC}">
  <dimension ref="A1:A80"/>
  <sheetViews>
    <sheetView showOutlineSymbols="0" showWhiteSpace="0" workbookViewId="0"/>
  </sheetViews>
  <sheetFormatPr defaultRowHeight="14.4"/>
  <cols>
    <col min="1" max="1" width="179.77734375" customWidth="1"/>
  </cols>
  <sheetData>
    <row r="1" spans="1:1" ht="21">
      <c r="A1" s="18" t="s">
        <v>69</v>
      </c>
    </row>
    <row r="3" spans="1:1" ht="15.6">
      <c r="A3" s="17" t="s">
        <v>167</v>
      </c>
    </row>
    <row r="4" spans="1:1" ht="31.2">
      <c r="A4" s="3" t="s">
        <v>168</v>
      </c>
    </row>
    <row r="5" spans="1:1" ht="15.6">
      <c r="A5" s="2" t="s">
        <v>169</v>
      </c>
    </row>
    <row r="6" spans="1:1" ht="15.6">
      <c r="A6" s="2" t="s">
        <v>170</v>
      </c>
    </row>
    <row r="8" spans="1:1" ht="15.6">
      <c r="A8" s="17" t="s">
        <v>171</v>
      </c>
    </row>
    <row r="9" spans="1:1" ht="31.2">
      <c r="A9" s="3" t="s">
        <v>172</v>
      </c>
    </row>
    <row r="10" spans="1:1" ht="15.6">
      <c r="A10" s="3"/>
    </row>
    <row r="11" spans="1:1" ht="15.6">
      <c r="A11" s="2" t="s">
        <v>173</v>
      </c>
    </row>
    <row r="12" spans="1:1" ht="15.6">
      <c r="A12" s="1" t="s">
        <v>174</v>
      </c>
    </row>
    <row r="13" spans="1:1" ht="31.2">
      <c r="A13" s="3" t="s">
        <v>178</v>
      </c>
    </row>
    <row r="14" spans="1:1" ht="15.6">
      <c r="A14" s="3"/>
    </row>
    <row r="15" spans="1:1" ht="15.6">
      <c r="A15" s="2" t="s">
        <v>175</v>
      </c>
    </row>
    <row r="16" spans="1:1" ht="15.6">
      <c r="A16" s="2"/>
    </row>
    <row r="17" spans="1:1" ht="15.6">
      <c r="A17" s="2" t="s">
        <v>176</v>
      </c>
    </row>
    <row r="18" spans="1:1" ht="15.6">
      <c r="A18" s="2"/>
    </row>
    <row r="19" spans="1:1" ht="15.6">
      <c r="A19" s="20" t="s">
        <v>177</v>
      </c>
    </row>
    <row r="20" spans="1:1" ht="15.6">
      <c r="A20" s="2"/>
    </row>
    <row r="21" spans="1:1" ht="31.2">
      <c r="A21" s="2" t="s">
        <v>218</v>
      </c>
    </row>
    <row r="22" spans="1:1" ht="15.6">
      <c r="A22" s="5"/>
    </row>
    <row r="23" spans="1:1" ht="15.6">
      <c r="A23" s="17" t="s">
        <v>179</v>
      </c>
    </row>
    <row r="24" spans="1:1" ht="15.6">
      <c r="A24" s="3" t="s">
        <v>180</v>
      </c>
    </row>
    <row r="25" spans="1:1" ht="15.6">
      <c r="A25" s="3"/>
    </row>
    <row r="26" spans="1:1" ht="15.6">
      <c r="A26" s="2" t="s">
        <v>173</v>
      </c>
    </row>
    <row r="27" spans="1:1" ht="15.6">
      <c r="A27" s="1" t="s">
        <v>181</v>
      </c>
    </row>
    <row r="28" spans="1:1" ht="15.6">
      <c r="A28" s="1"/>
    </row>
    <row r="29" spans="1:1" ht="15.6">
      <c r="A29" s="3" t="s">
        <v>182</v>
      </c>
    </row>
    <row r="30" spans="1:1" ht="15.6">
      <c r="A30" s="2" t="s">
        <v>183</v>
      </c>
    </row>
    <row r="31" spans="1:1" ht="15.6">
      <c r="A31" s="2"/>
    </row>
    <row r="32" spans="1:1" ht="15.6">
      <c r="A32" s="2" t="s">
        <v>184</v>
      </c>
    </row>
    <row r="33" spans="1:1" ht="15.6">
      <c r="A33" s="3" t="s">
        <v>185</v>
      </c>
    </row>
    <row r="34" spans="1:1" ht="15.6">
      <c r="A34" s="2" t="s">
        <v>186</v>
      </c>
    </row>
    <row r="35" spans="1:1" ht="15.6">
      <c r="A35" s="2" t="s">
        <v>187</v>
      </c>
    </row>
    <row r="36" spans="1:1" ht="15.6">
      <c r="A36" s="2" t="s">
        <v>188</v>
      </c>
    </row>
    <row r="37" spans="1:1" ht="15.6">
      <c r="A37" s="2" t="s">
        <v>189</v>
      </c>
    </row>
    <row r="38" spans="1:1" ht="15.6">
      <c r="A38" s="2" t="s">
        <v>190</v>
      </c>
    </row>
    <row r="39" spans="1:1" ht="15.6">
      <c r="A39" s="2" t="s">
        <v>191</v>
      </c>
    </row>
    <row r="40" spans="1:1" ht="15.6">
      <c r="A40" s="2" t="s">
        <v>192</v>
      </c>
    </row>
    <row r="41" spans="1:1" ht="15.6">
      <c r="A41" s="3" t="s">
        <v>219</v>
      </c>
    </row>
    <row r="43" spans="1:1" ht="15.6">
      <c r="A43" s="17" t="s">
        <v>220</v>
      </c>
    </row>
    <row r="44" spans="1:1" ht="46.8">
      <c r="A44" s="3" t="s">
        <v>221</v>
      </c>
    </row>
    <row r="45" spans="1:1" ht="15.6">
      <c r="A45" s="3"/>
    </row>
    <row r="46" spans="1:1" ht="15.6">
      <c r="A46" s="2" t="s">
        <v>222</v>
      </c>
    </row>
    <row r="47" spans="1:1" ht="15.6">
      <c r="A47" s="2" t="s">
        <v>223</v>
      </c>
    </row>
    <row r="48" spans="1:1" ht="15.6">
      <c r="A48" s="2"/>
    </row>
    <row r="49" spans="1:1" ht="15.6">
      <c r="A49" s="17" t="s">
        <v>224</v>
      </c>
    </row>
    <row r="50" spans="1:1" ht="15.6">
      <c r="A50" s="3" t="s">
        <v>225</v>
      </c>
    </row>
    <row r="51" spans="1:1" ht="15.6">
      <c r="A51" s="3"/>
    </row>
    <row r="52" spans="1:1" ht="15.6">
      <c r="A52" s="1" t="s">
        <v>226</v>
      </c>
    </row>
    <row r="53" spans="1:1" ht="15.6">
      <c r="A53" s="15" t="s">
        <v>230</v>
      </c>
    </row>
    <row r="54" spans="1:1" ht="15.6">
      <c r="A54" s="3" t="s">
        <v>227</v>
      </c>
    </row>
    <row r="55" spans="1:1" ht="15.6">
      <c r="A55" s="2" t="s">
        <v>260</v>
      </c>
    </row>
    <row r="56" spans="1:1" ht="15.6">
      <c r="A56" s="3"/>
    </row>
    <row r="57" spans="1:1" ht="15.6">
      <c r="A57" s="2" t="s">
        <v>91</v>
      </c>
    </row>
    <row r="58" spans="1:1" ht="15.6">
      <c r="A58" s="3" t="s">
        <v>228</v>
      </c>
    </row>
    <row r="59" spans="1:1" ht="15.6">
      <c r="A59" s="2" t="s">
        <v>229</v>
      </c>
    </row>
    <row r="61" spans="1:1" ht="15.6">
      <c r="A61" s="17" t="s">
        <v>231</v>
      </c>
    </row>
    <row r="62" spans="1:1" ht="15.6">
      <c r="A62" s="1"/>
    </row>
    <row r="63" spans="1:1" ht="31.2">
      <c r="A63" s="3" t="s">
        <v>232</v>
      </c>
    </row>
    <row r="64" spans="1:1" ht="15.6">
      <c r="A64" s="3" t="s">
        <v>233</v>
      </c>
    </row>
    <row r="65" spans="1:1" ht="15.6">
      <c r="A65" s="3"/>
    </row>
    <row r="66" spans="1:1" ht="15.6">
      <c r="A66" s="2" t="s">
        <v>234</v>
      </c>
    </row>
    <row r="67" spans="1:1" ht="15.6">
      <c r="A67" s="1" t="s">
        <v>235</v>
      </c>
    </row>
    <row r="68" spans="1:1" ht="15.6">
      <c r="A68" s="2" t="s">
        <v>236</v>
      </c>
    </row>
    <row r="69" spans="1:1" ht="15.6">
      <c r="A69" s="2" t="s">
        <v>237</v>
      </c>
    </row>
    <row r="70" spans="1:1" ht="15.6">
      <c r="A70" s="3" t="s">
        <v>243</v>
      </c>
    </row>
    <row r="71" spans="1:1" ht="15.6">
      <c r="A71" s="2" t="s">
        <v>260</v>
      </c>
    </row>
    <row r="72" spans="1:1" ht="15.6">
      <c r="A72" s="3"/>
    </row>
    <row r="73" spans="1:1" ht="15.6">
      <c r="A73" s="3" t="s">
        <v>238</v>
      </c>
    </row>
    <row r="74" spans="1:1" ht="15.6">
      <c r="A74" s="12" t="s">
        <v>241</v>
      </c>
    </row>
    <row r="75" spans="1:1" ht="15.6">
      <c r="A75" s="3" t="s">
        <v>239</v>
      </c>
    </row>
    <row r="76" spans="1:1" ht="15.6">
      <c r="A76" s="2" t="s">
        <v>240</v>
      </c>
    </row>
    <row r="77" spans="1:1" ht="15.6">
      <c r="A77" s="15" t="s">
        <v>242</v>
      </c>
    </row>
    <row r="78" spans="1:1" ht="15.6">
      <c r="A78" s="15"/>
    </row>
    <row r="79" spans="1:1" ht="15.6">
      <c r="A79" s="2" t="s">
        <v>91</v>
      </c>
    </row>
    <row r="80" spans="1:1" ht="31.2">
      <c r="A80" s="3" t="s">
        <v>259</v>
      </c>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EFFCA-A9D9-4D84-9382-CFFDF11E277E}">
  <sheetPr codeName="Sheet8">
    <tabColor rgb="FFFFC000"/>
  </sheetPr>
  <dimension ref="A1:R18"/>
  <sheetViews>
    <sheetView showOutlineSymbols="0" showWhiteSpace="0" workbookViewId="0"/>
  </sheetViews>
  <sheetFormatPr defaultRowHeight="14.4"/>
  <cols>
    <col min="1" max="1" width="9.5546875" bestFit="1" customWidth="1"/>
    <col min="2" max="2" width="8.33203125" bestFit="1" customWidth="1"/>
    <col min="3" max="3" width="16.33203125" bestFit="1" customWidth="1"/>
    <col min="4" max="4" width="8.33203125" bestFit="1" customWidth="1"/>
    <col min="5" max="5" width="9.44140625" bestFit="1" customWidth="1"/>
    <col min="6" max="6" width="16.33203125" bestFit="1" customWidth="1"/>
    <col min="7" max="7" width="8.5546875" bestFit="1" customWidth="1"/>
    <col min="8" max="8" width="17.21875" bestFit="1" customWidth="1"/>
    <col min="9" max="9" width="10.77734375" bestFit="1" customWidth="1"/>
    <col min="10" max="10" width="16.44140625" bestFit="1" customWidth="1"/>
    <col min="11" max="11" width="11.44140625" bestFit="1" customWidth="1"/>
    <col min="12" max="12" width="8.109375" bestFit="1" customWidth="1"/>
    <col min="13" max="13" width="8.33203125" bestFit="1" customWidth="1"/>
    <col min="14" max="14" width="16.5546875" bestFit="1" customWidth="1"/>
    <col min="15" max="15" width="8.33203125" bestFit="1" customWidth="1"/>
    <col min="16" max="16" width="9.5546875" bestFit="1" customWidth="1"/>
    <col min="17" max="17" width="16.5546875" bestFit="1" customWidth="1"/>
    <col min="18" max="18" width="8.77734375" bestFit="1" customWidth="1"/>
  </cols>
  <sheetData>
    <row r="1" spans="1:18">
      <c r="A1" s="21" t="s">
        <v>193</v>
      </c>
      <c r="B1" s="21" t="s">
        <v>140</v>
      </c>
      <c r="C1" s="21" t="s">
        <v>194</v>
      </c>
      <c r="D1" s="21" t="s">
        <v>1030</v>
      </c>
      <c r="E1" s="21" t="s">
        <v>103</v>
      </c>
      <c r="F1" s="21" t="s">
        <v>104</v>
      </c>
      <c r="G1" s="21" t="s">
        <v>1031</v>
      </c>
      <c r="H1" s="21" t="s">
        <v>197</v>
      </c>
      <c r="I1" s="21" t="s">
        <v>198</v>
      </c>
      <c r="J1" s="21" t="s">
        <v>199</v>
      </c>
    </row>
    <row r="2" spans="1:18">
      <c r="A2" s="16" t="s">
        <v>200</v>
      </c>
      <c r="B2" s="16" t="s">
        <v>141</v>
      </c>
      <c r="C2" s="16" t="s">
        <v>201</v>
      </c>
      <c r="D2" s="22">
        <v>4700</v>
      </c>
      <c r="E2" s="22">
        <f t="shared" ref="E2:E7" si="0">D2*50%</f>
        <v>2350</v>
      </c>
      <c r="F2" s="22">
        <f t="shared" ref="F2:F7" si="1">(D2+E2)/2</f>
        <v>3525</v>
      </c>
      <c r="G2" s="22">
        <f t="shared" ref="G2:G7" si="2">SUM(D2:F2)</f>
        <v>10575</v>
      </c>
      <c r="H2" s="22">
        <f t="shared" ref="H2:H7" si="3">G2*10%</f>
        <v>1057.5</v>
      </c>
      <c r="I2" s="22">
        <f t="shared" ref="I2:I7" si="4">G2-H2</f>
        <v>9517.5</v>
      </c>
      <c r="J2" s="16" t="s">
        <v>202</v>
      </c>
    </row>
    <row r="3" spans="1:18">
      <c r="A3" s="16" t="s">
        <v>203</v>
      </c>
      <c r="B3" s="16" t="s">
        <v>142</v>
      </c>
      <c r="C3" s="23" t="s">
        <v>153</v>
      </c>
      <c r="D3" s="22">
        <v>8700</v>
      </c>
      <c r="E3" s="22">
        <f t="shared" si="0"/>
        <v>4350</v>
      </c>
      <c r="F3" s="22">
        <f t="shared" si="1"/>
        <v>6525</v>
      </c>
      <c r="G3" s="22">
        <f t="shared" si="2"/>
        <v>19575</v>
      </c>
      <c r="H3" s="22">
        <f t="shared" si="3"/>
        <v>1957.5</v>
      </c>
      <c r="I3" s="22">
        <f t="shared" si="4"/>
        <v>17617.5</v>
      </c>
      <c r="J3" s="16" t="s">
        <v>204</v>
      </c>
    </row>
    <row r="4" spans="1:18">
      <c r="A4" s="16" t="s">
        <v>1120</v>
      </c>
      <c r="B4" s="16" t="s">
        <v>141</v>
      </c>
      <c r="C4" s="23" t="s">
        <v>152</v>
      </c>
      <c r="D4" s="22">
        <v>10800</v>
      </c>
      <c r="E4" s="22">
        <f t="shared" si="0"/>
        <v>5400</v>
      </c>
      <c r="F4" s="22">
        <f t="shared" si="1"/>
        <v>8100</v>
      </c>
      <c r="G4" s="22">
        <f t="shared" si="2"/>
        <v>24300</v>
      </c>
      <c r="H4" s="22">
        <f t="shared" si="3"/>
        <v>2430</v>
      </c>
      <c r="I4" s="22">
        <f t="shared" si="4"/>
        <v>21870</v>
      </c>
      <c r="J4" s="16" t="s">
        <v>202</v>
      </c>
    </row>
    <row r="5" spans="1:18">
      <c r="A5" s="16" t="s">
        <v>206</v>
      </c>
      <c r="B5" s="16" t="s">
        <v>143</v>
      </c>
      <c r="C5" s="23" t="s">
        <v>153</v>
      </c>
      <c r="D5" s="22">
        <v>4500</v>
      </c>
      <c r="E5" s="22">
        <f t="shared" si="0"/>
        <v>2250</v>
      </c>
      <c r="F5" s="22">
        <f t="shared" si="1"/>
        <v>3375</v>
      </c>
      <c r="G5" s="22">
        <f t="shared" si="2"/>
        <v>10125</v>
      </c>
      <c r="H5" s="22">
        <f t="shared" si="3"/>
        <v>1012.5</v>
      </c>
      <c r="I5" s="22">
        <f t="shared" si="4"/>
        <v>9112.5</v>
      </c>
      <c r="J5" s="16" t="s">
        <v>207</v>
      </c>
    </row>
    <row r="6" spans="1:18">
      <c r="A6" s="16" t="s">
        <v>208</v>
      </c>
      <c r="B6" s="16" t="s">
        <v>142</v>
      </c>
      <c r="C6" s="16" t="s">
        <v>201</v>
      </c>
      <c r="D6" s="22">
        <v>8800</v>
      </c>
      <c r="E6" s="22">
        <f t="shared" si="0"/>
        <v>4400</v>
      </c>
      <c r="F6" s="22">
        <f t="shared" si="1"/>
        <v>6600</v>
      </c>
      <c r="G6" s="22">
        <f t="shared" si="2"/>
        <v>19800</v>
      </c>
      <c r="H6" s="22">
        <f t="shared" si="3"/>
        <v>1980</v>
      </c>
      <c r="I6" s="22">
        <f t="shared" si="4"/>
        <v>17820</v>
      </c>
      <c r="J6" s="16" t="s">
        <v>204</v>
      </c>
    </row>
    <row r="7" spans="1:18">
      <c r="A7" s="16" t="s">
        <v>209</v>
      </c>
      <c r="B7" s="16" t="s">
        <v>144</v>
      </c>
      <c r="C7" s="23" t="s">
        <v>152</v>
      </c>
      <c r="D7" s="22">
        <v>7800</v>
      </c>
      <c r="E7" s="22">
        <f t="shared" si="0"/>
        <v>3900</v>
      </c>
      <c r="F7" s="22">
        <f t="shared" si="1"/>
        <v>5850</v>
      </c>
      <c r="G7" s="22">
        <f t="shared" si="2"/>
        <v>17550</v>
      </c>
      <c r="H7" s="22">
        <f t="shared" si="3"/>
        <v>1755</v>
      </c>
      <c r="I7" s="22">
        <f t="shared" si="4"/>
        <v>15795</v>
      </c>
      <c r="J7" s="16" t="s">
        <v>207</v>
      </c>
    </row>
    <row r="9" spans="1:18">
      <c r="L9" s="24" t="s">
        <v>193</v>
      </c>
      <c r="M9" s="16" t="s">
        <v>200</v>
      </c>
      <c r="N9" s="16" t="s">
        <v>203</v>
      </c>
      <c r="O9" s="16" t="s">
        <v>1120</v>
      </c>
      <c r="P9" s="16" t="s">
        <v>206</v>
      </c>
      <c r="Q9" s="16" t="s">
        <v>208</v>
      </c>
      <c r="R9" s="16" t="s">
        <v>209</v>
      </c>
    </row>
    <row r="10" spans="1:18">
      <c r="L10" s="24" t="s">
        <v>140</v>
      </c>
      <c r="M10" s="16" t="s">
        <v>141</v>
      </c>
      <c r="N10" s="16" t="s">
        <v>142</v>
      </c>
      <c r="O10" s="16" t="s">
        <v>141</v>
      </c>
      <c r="P10" s="16" t="s">
        <v>143</v>
      </c>
      <c r="Q10" s="16" t="s">
        <v>142</v>
      </c>
      <c r="R10" s="16" t="s">
        <v>144</v>
      </c>
    </row>
    <row r="11" spans="1:18">
      <c r="L11" s="24" t="s">
        <v>194</v>
      </c>
      <c r="M11" s="16" t="s">
        <v>201</v>
      </c>
      <c r="N11" s="23" t="s">
        <v>153</v>
      </c>
      <c r="O11" s="23" t="s">
        <v>152</v>
      </c>
      <c r="P11" s="23" t="s">
        <v>153</v>
      </c>
      <c r="Q11" s="16" t="s">
        <v>201</v>
      </c>
      <c r="R11" s="23" t="s">
        <v>152</v>
      </c>
    </row>
    <row r="12" spans="1:18">
      <c r="L12" s="24" t="s">
        <v>1030</v>
      </c>
      <c r="M12" s="22">
        <v>4700</v>
      </c>
      <c r="N12" s="22">
        <v>8700</v>
      </c>
      <c r="O12" s="22">
        <v>10800</v>
      </c>
      <c r="P12" s="22">
        <v>4500</v>
      </c>
      <c r="Q12" s="22">
        <v>8800</v>
      </c>
      <c r="R12" s="22">
        <v>7800</v>
      </c>
    </row>
    <row r="13" spans="1:18">
      <c r="L13" s="24" t="s">
        <v>103</v>
      </c>
      <c r="M13" s="22">
        <f t="shared" ref="M13:R13" si="5">M12*50%</f>
        <v>2350</v>
      </c>
      <c r="N13" s="22">
        <f t="shared" si="5"/>
        <v>4350</v>
      </c>
      <c r="O13" s="22">
        <f t="shared" si="5"/>
        <v>5400</v>
      </c>
      <c r="P13" s="22">
        <f t="shared" si="5"/>
        <v>2250</v>
      </c>
      <c r="Q13" s="22">
        <f t="shared" si="5"/>
        <v>4400</v>
      </c>
      <c r="R13" s="22">
        <f t="shared" si="5"/>
        <v>3900</v>
      </c>
    </row>
    <row r="14" spans="1:18">
      <c r="L14" s="24" t="s">
        <v>104</v>
      </c>
      <c r="M14" s="22">
        <f t="shared" ref="M14:R14" si="6">(M12+M13)/2</f>
        <v>3525</v>
      </c>
      <c r="N14" s="22">
        <f t="shared" si="6"/>
        <v>6525</v>
      </c>
      <c r="O14" s="22">
        <f t="shared" si="6"/>
        <v>8100</v>
      </c>
      <c r="P14" s="22">
        <f t="shared" si="6"/>
        <v>3375</v>
      </c>
      <c r="Q14" s="22">
        <f t="shared" si="6"/>
        <v>6600</v>
      </c>
      <c r="R14" s="22">
        <f t="shared" si="6"/>
        <v>5850</v>
      </c>
    </row>
    <row r="15" spans="1:18">
      <c r="L15" s="24" t="s">
        <v>1031</v>
      </c>
      <c r="M15" s="22">
        <f t="shared" ref="M15:R15" si="7">SUM(M12:M14)</f>
        <v>10575</v>
      </c>
      <c r="N15" s="22">
        <f t="shared" si="7"/>
        <v>19575</v>
      </c>
      <c r="O15" s="22">
        <f t="shared" si="7"/>
        <v>24300</v>
      </c>
      <c r="P15" s="22">
        <f t="shared" si="7"/>
        <v>10125</v>
      </c>
      <c r="Q15" s="22">
        <f t="shared" si="7"/>
        <v>19800</v>
      </c>
      <c r="R15" s="22">
        <f t="shared" si="7"/>
        <v>17550</v>
      </c>
    </row>
    <row r="16" spans="1:18">
      <c r="L16" s="24" t="s">
        <v>197</v>
      </c>
      <c r="M16" s="22">
        <f t="shared" ref="M16:R16" si="8">M15*10%</f>
        <v>1057.5</v>
      </c>
      <c r="N16" s="22">
        <f t="shared" si="8"/>
        <v>1957.5</v>
      </c>
      <c r="O16" s="22">
        <f t="shared" si="8"/>
        <v>2430</v>
      </c>
      <c r="P16" s="22">
        <f t="shared" si="8"/>
        <v>1012.5</v>
      </c>
      <c r="Q16" s="22">
        <f t="shared" si="8"/>
        <v>1980</v>
      </c>
      <c r="R16" s="22">
        <f t="shared" si="8"/>
        <v>1755</v>
      </c>
    </row>
    <row r="17" spans="12:18">
      <c r="L17" s="24" t="s">
        <v>198</v>
      </c>
      <c r="M17" s="22">
        <f t="shared" ref="M17:R17" si="9">M15-M16</f>
        <v>9517.5</v>
      </c>
      <c r="N17" s="22">
        <f t="shared" si="9"/>
        <v>17617.5</v>
      </c>
      <c r="O17" s="22">
        <f t="shared" si="9"/>
        <v>21870</v>
      </c>
      <c r="P17" s="22">
        <f t="shared" si="9"/>
        <v>9112.5</v>
      </c>
      <c r="Q17" s="22">
        <f t="shared" si="9"/>
        <v>17820</v>
      </c>
      <c r="R17" s="22">
        <f t="shared" si="9"/>
        <v>15795</v>
      </c>
    </row>
    <row r="18" spans="12:18">
      <c r="L18" s="24" t="s">
        <v>199</v>
      </c>
      <c r="M18" s="16" t="s">
        <v>202</v>
      </c>
      <c r="N18" s="16" t="s">
        <v>204</v>
      </c>
      <c r="O18" s="16" t="s">
        <v>202</v>
      </c>
      <c r="P18" s="16" t="s">
        <v>207</v>
      </c>
      <c r="Q18" s="16" t="s">
        <v>204</v>
      </c>
      <c r="R18" s="16" t="s">
        <v>207</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D95BC-BFA6-404E-9095-8E7533392DDB}">
  <sheetPr codeName="Sheet9">
    <tabColor rgb="FFFFC000"/>
  </sheetPr>
  <dimension ref="A1:S9"/>
  <sheetViews>
    <sheetView showOutlineSymbols="0" showWhiteSpace="0" workbookViewId="0"/>
  </sheetViews>
  <sheetFormatPr defaultRowHeight="14.4"/>
  <cols>
    <col min="1" max="1" width="5.44140625" bestFit="1" customWidth="1"/>
    <col min="2" max="2" width="10" customWidth="1"/>
    <col min="3" max="3" width="10.77734375" bestFit="1" customWidth="1"/>
    <col min="4" max="4" width="16.21875" bestFit="1" customWidth="1"/>
    <col min="5" max="5" width="9.21875" bestFit="1" customWidth="1"/>
    <col min="6" max="6" width="6.44140625" hidden="1" customWidth="1"/>
    <col min="7" max="7" width="7.77734375" bestFit="1" customWidth="1"/>
    <col min="8" max="8" width="7.88671875" bestFit="1" customWidth="1"/>
    <col min="9" max="9" width="10.33203125" customWidth="1"/>
    <col min="10" max="10" width="11.5546875" customWidth="1"/>
    <col min="11" max="11" width="12.77734375" customWidth="1"/>
  </cols>
  <sheetData>
    <row r="1" spans="1:19" ht="15" thickBot="1">
      <c r="I1" t="s">
        <v>210</v>
      </c>
      <c r="K1" t="s">
        <v>211</v>
      </c>
    </row>
    <row r="2" spans="1:19" ht="28.8">
      <c r="A2" s="42" t="s">
        <v>77</v>
      </c>
      <c r="B2" s="43" t="s">
        <v>212</v>
      </c>
      <c r="C2" s="43" t="s">
        <v>213</v>
      </c>
      <c r="D2" s="43" t="s">
        <v>199</v>
      </c>
      <c r="E2" s="43" t="s">
        <v>194</v>
      </c>
      <c r="F2" s="43" t="s">
        <v>1031</v>
      </c>
      <c r="G2" s="43" t="s">
        <v>214</v>
      </c>
      <c r="H2" s="43" t="s">
        <v>215</v>
      </c>
      <c r="I2" s="43" t="s">
        <v>216</v>
      </c>
      <c r="J2" s="43" t="s">
        <v>217</v>
      </c>
      <c r="K2" s="44" t="s">
        <v>217</v>
      </c>
    </row>
    <row r="3" spans="1:19">
      <c r="A3" s="25">
        <v>1</v>
      </c>
      <c r="B3" s="16" t="s">
        <v>208</v>
      </c>
      <c r="C3" s="26">
        <v>41546</v>
      </c>
      <c r="D3" s="16" t="s">
        <v>204</v>
      </c>
      <c r="E3" s="16" t="s">
        <v>201</v>
      </c>
      <c r="F3" s="16">
        <v>19800</v>
      </c>
      <c r="G3" s="39">
        <f>VLOOKUP(B3,'Sample 5'!$A$1:$J$7,4,FALSE)</f>
        <v>8800</v>
      </c>
      <c r="H3" s="39">
        <f>HLOOKUP(B3,'Sample 5'!$L$9:$R$18,8,FALSE)</f>
        <v>1980</v>
      </c>
      <c r="I3" s="39">
        <f>IFERROR(G3,0)</f>
        <v>8800</v>
      </c>
      <c r="J3" s="39">
        <f>VLOOKUP(B3,'Sample 5'!A:J,4,FALSE)</f>
        <v>8800</v>
      </c>
      <c r="K3" s="40"/>
    </row>
    <row r="4" spans="1:19">
      <c r="A4" s="25">
        <v>2</v>
      </c>
      <c r="B4" s="16" t="s">
        <v>203</v>
      </c>
      <c r="C4" s="26">
        <v>43716</v>
      </c>
      <c r="D4" s="16" t="s">
        <v>204</v>
      </c>
      <c r="E4" s="23" t="s">
        <v>153</v>
      </c>
      <c r="F4" s="16">
        <v>19575</v>
      </c>
      <c r="G4" s="39">
        <f>VLOOKUP(B4,'Sample 5'!$A$1:$J$7,4,FALSE)</f>
        <v>8700</v>
      </c>
      <c r="H4" s="39">
        <f>HLOOKUP(B4,'Sample 5'!$L$9:$R$18,8,FALSE)</f>
        <v>1957.5</v>
      </c>
      <c r="I4" s="39">
        <f>IFERROR(G4,0)</f>
        <v>8700</v>
      </c>
      <c r="J4" s="39">
        <f>VLOOKUP(B4,'Sample 5'!A:J,4,FALSE)</f>
        <v>8700</v>
      </c>
      <c r="K4" s="40"/>
    </row>
    <row r="5" spans="1:19">
      <c r="A5" s="25">
        <v>3</v>
      </c>
      <c r="B5" s="16" t="s">
        <v>200</v>
      </c>
      <c r="C5" s="26">
        <v>42126</v>
      </c>
      <c r="D5" s="16" t="s">
        <v>202</v>
      </c>
      <c r="E5" s="16" t="s">
        <v>201</v>
      </c>
      <c r="F5" s="16">
        <v>10575</v>
      </c>
      <c r="G5" s="39">
        <f>VLOOKUP(B5,'Sample 5'!$A$1:$J$7,4,FALSE)</f>
        <v>4700</v>
      </c>
      <c r="H5" s="39">
        <f>HLOOKUP(B5,'Sample 5'!$L$9:$R$18,8,FALSE)</f>
        <v>1057.5</v>
      </c>
      <c r="I5" s="39">
        <f t="shared" ref="I5:I8" si="0">IFERROR(G5,0)</f>
        <v>4700</v>
      </c>
      <c r="J5" s="39">
        <f>VLOOKUP(B5,'Sample 5'!A:J,4,FALSE)</f>
        <v>4700</v>
      </c>
      <c r="K5" s="40"/>
    </row>
    <row r="6" spans="1:19">
      <c r="A6" s="25">
        <v>4</v>
      </c>
      <c r="B6" s="16" t="s">
        <v>206</v>
      </c>
      <c r="C6" s="26">
        <v>43243</v>
      </c>
      <c r="D6" s="16" t="s">
        <v>207</v>
      </c>
      <c r="E6" s="23" t="s">
        <v>153</v>
      </c>
      <c r="F6" s="16">
        <v>10125</v>
      </c>
      <c r="G6" s="39">
        <f>VLOOKUP(B6,'Sample 5'!$A$1:$J$7,4,FALSE)</f>
        <v>4500</v>
      </c>
      <c r="H6" s="39">
        <f>HLOOKUP(B6,'Sample 5'!$L$9:$R$18,8,FALSE)</f>
        <v>1012.5</v>
      </c>
      <c r="I6" s="39">
        <f t="shared" si="0"/>
        <v>4500</v>
      </c>
      <c r="J6" s="39">
        <f>VLOOKUP(B6,'Sample 5'!A:J,4,FALSE)</f>
        <v>4500</v>
      </c>
      <c r="K6" s="40"/>
    </row>
    <row r="7" spans="1:19">
      <c r="A7" s="25">
        <v>5</v>
      </c>
      <c r="B7" s="16" t="s">
        <v>209</v>
      </c>
      <c r="C7" s="26">
        <v>42771</v>
      </c>
      <c r="D7" s="16" t="s">
        <v>207</v>
      </c>
      <c r="E7" s="23" t="s">
        <v>152</v>
      </c>
      <c r="F7" s="16">
        <v>17550</v>
      </c>
      <c r="G7" s="39">
        <f>VLOOKUP(B7,'Sample 5'!$A$1:$J$7,4,FALSE)</f>
        <v>7800</v>
      </c>
      <c r="H7" s="39">
        <f>HLOOKUP(B7,'Sample 5'!$L$9:$R$18,8,FALSE)</f>
        <v>1755</v>
      </c>
      <c r="I7" s="39">
        <f t="shared" si="0"/>
        <v>7800</v>
      </c>
      <c r="J7" s="39">
        <f>VLOOKUP(B7,'Sample 5'!A:J,4,FALSE)</f>
        <v>7800</v>
      </c>
      <c r="K7" s="40"/>
      <c r="S7" t="s">
        <v>1118</v>
      </c>
    </row>
    <row r="8" spans="1:19">
      <c r="A8" s="25">
        <v>6</v>
      </c>
      <c r="B8" s="16" t="s">
        <v>205</v>
      </c>
      <c r="C8" s="26">
        <v>41654</v>
      </c>
      <c r="D8" s="16" t="s">
        <v>202</v>
      </c>
      <c r="E8" s="23" t="s">
        <v>152</v>
      </c>
      <c r="F8" s="16">
        <v>24300</v>
      </c>
      <c r="G8" s="39" t="e">
        <f>VLOOKUP(B8,'Sample 5'!$A$1:$J$7,4,FALSE)</f>
        <v>#N/A</v>
      </c>
      <c r="H8" s="39" t="e">
        <f>HLOOKUP(B8,'Sample 5'!$L$9:$R$18,8,FALSE)</f>
        <v>#N/A</v>
      </c>
      <c r="I8" s="39">
        <f t="shared" si="0"/>
        <v>0</v>
      </c>
      <c r="J8" s="39" t="e">
        <f>VLOOKUP(B8,'Sample 5'!A:J,4,FALSE)</f>
        <v>#N/A</v>
      </c>
      <c r="K8" s="41"/>
      <c r="S8" t="s">
        <v>1119</v>
      </c>
    </row>
    <row r="9" spans="1:19" ht="15" thickBot="1">
      <c r="A9" s="27"/>
      <c r="B9" s="28"/>
      <c r="C9" s="28"/>
      <c r="D9" s="28"/>
      <c r="E9" s="28"/>
      <c r="F9" s="28"/>
      <c r="G9" s="28" t="e">
        <f>SUM(G3:G8)</f>
        <v>#N/A</v>
      </c>
      <c r="H9" s="28" t="e">
        <f>SUM(H3:H8)</f>
        <v>#N/A</v>
      </c>
      <c r="I9" s="28">
        <f>SUM(I3:I8)</f>
        <v>34500</v>
      </c>
      <c r="J9" s="28" t="e">
        <f>SUM(J3:J8)</f>
        <v>#N/A</v>
      </c>
      <c r="K9" s="29">
        <f>SUM(K3:K8)</f>
        <v>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4B840-F4B9-44BC-A38F-E61662D5970C}">
  <sheetPr>
    <tabColor rgb="FFFFC000"/>
  </sheetPr>
  <dimension ref="B1:O53"/>
  <sheetViews>
    <sheetView showOutlineSymbols="0" showWhiteSpace="0" workbookViewId="0"/>
  </sheetViews>
  <sheetFormatPr defaultColWidth="8.77734375" defaultRowHeight="14.4"/>
  <cols>
    <col min="1" max="1" width="2.77734375" style="65" customWidth="1"/>
    <col min="2" max="2" width="18.109375" style="65" bestFit="1" customWidth="1"/>
    <col min="3" max="3" width="19.88671875" style="65" bestFit="1" customWidth="1"/>
    <col min="4" max="4" width="2.88671875" style="65" customWidth="1"/>
    <col min="5" max="5" width="18.109375" style="65" bestFit="1" customWidth="1"/>
    <col min="6" max="6" width="23.21875" style="65" bestFit="1" customWidth="1"/>
    <col min="7" max="7" width="3.21875" style="65" customWidth="1"/>
    <col min="8" max="8" width="26.44140625" style="65" customWidth="1"/>
    <col min="9" max="9" width="27.88671875" style="65" customWidth="1"/>
    <col min="10" max="10" width="29.5546875" style="65" customWidth="1"/>
    <col min="11" max="11" width="4.21875" style="65" customWidth="1"/>
    <col min="12" max="12" width="9.5546875" style="65" bestFit="1" customWidth="1"/>
    <col min="13" max="13" width="11.77734375" style="65" bestFit="1" customWidth="1"/>
    <col min="14" max="16384" width="8.77734375" style="65"/>
  </cols>
  <sheetData>
    <row r="1" spans="2:15" ht="21">
      <c r="B1" s="320" t="s">
        <v>654</v>
      </c>
      <c r="C1" s="320"/>
    </row>
    <row r="3" spans="2:15" s="111" customFormat="1" ht="23.4">
      <c r="B3" s="111" t="s">
        <v>655</v>
      </c>
      <c r="H3" s="111" t="s">
        <v>656</v>
      </c>
    </row>
    <row r="4" spans="2:15">
      <c r="B4" s="112" t="s">
        <v>657</v>
      </c>
      <c r="C4" s="112" t="s">
        <v>658</v>
      </c>
      <c r="E4" s="112" t="s">
        <v>657</v>
      </c>
      <c r="F4" s="112" t="s">
        <v>658</v>
      </c>
      <c r="H4" s="112" t="s">
        <v>659</v>
      </c>
      <c r="I4" s="112" t="s">
        <v>660</v>
      </c>
      <c r="J4" s="112" t="s">
        <v>661</v>
      </c>
      <c r="L4" s="112" t="s">
        <v>662</v>
      </c>
      <c r="M4" s="112" t="s">
        <v>661</v>
      </c>
      <c r="O4" s="87"/>
    </row>
    <row r="5" spans="2:15">
      <c r="B5" s="110" t="s">
        <v>663</v>
      </c>
      <c r="C5" s="110" t="str">
        <f>VLOOKUP(B5,$E$4:$F$52,2,0)</f>
        <v>Psych</v>
      </c>
      <c r="E5" s="110" t="s">
        <v>664</v>
      </c>
      <c r="F5" s="110" t="s">
        <v>665</v>
      </c>
      <c r="H5" s="110" t="s">
        <v>666</v>
      </c>
      <c r="I5" s="92">
        <v>98</v>
      </c>
      <c r="J5" s="92" t="str">
        <f>VLOOKUP(I5,$L$4:$M$17,2,TRUE)</f>
        <v>A+</v>
      </c>
      <c r="L5" s="92">
        <v>0</v>
      </c>
      <c r="M5" s="92" t="s">
        <v>126</v>
      </c>
      <c r="O5" s="87"/>
    </row>
    <row r="6" spans="2:15">
      <c r="B6" s="110" t="s">
        <v>667</v>
      </c>
      <c r="C6" s="110" t="str">
        <f t="shared" ref="C6:C37" si="0">VLOOKUP(B6,$E$4:$F$52,2,0)</f>
        <v>Twin Peaks</v>
      </c>
      <c r="E6" s="110" t="s">
        <v>668</v>
      </c>
      <c r="F6" s="110" t="s">
        <v>669</v>
      </c>
      <c r="H6" s="110" t="s">
        <v>670</v>
      </c>
      <c r="I6" s="92">
        <v>79</v>
      </c>
      <c r="J6" s="92" t="str">
        <f t="shared" ref="J6:J41" si="1">VLOOKUP(I6,$L$4:$M$17,2,TRUE)</f>
        <v>C+</v>
      </c>
      <c r="L6" s="92">
        <v>60</v>
      </c>
      <c r="M6" s="92" t="s">
        <v>671</v>
      </c>
    </row>
    <row r="7" spans="2:15">
      <c r="B7" s="110" t="s">
        <v>672</v>
      </c>
      <c r="C7" s="110" t="str">
        <f t="shared" si="0"/>
        <v>Moonlighting</v>
      </c>
      <c r="E7" s="110" t="s">
        <v>672</v>
      </c>
      <c r="F7" s="110" t="s">
        <v>665</v>
      </c>
      <c r="H7" s="110" t="s">
        <v>673</v>
      </c>
      <c r="I7" s="92">
        <v>72</v>
      </c>
      <c r="J7" s="92" t="str">
        <f t="shared" si="1"/>
        <v>C-</v>
      </c>
      <c r="L7" s="92">
        <v>64</v>
      </c>
      <c r="M7" s="92" t="s">
        <v>124</v>
      </c>
    </row>
    <row r="8" spans="2:15">
      <c r="B8" s="110" t="s">
        <v>673</v>
      </c>
      <c r="C8" s="110" t="str">
        <f t="shared" si="0"/>
        <v>Dexter</v>
      </c>
      <c r="E8" s="110" t="s">
        <v>674</v>
      </c>
      <c r="F8" s="110" t="s">
        <v>675</v>
      </c>
      <c r="H8" s="110" t="s">
        <v>676</v>
      </c>
      <c r="I8" s="92">
        <v>93</v>
      </c>
      <c r="J8" s="92" t="str">
        <f t="shared" si="1"/>
        <v>A-</v>
      </c>
      <c r="L8" s="92">
        <v>67</v>
      </c>
      <c r="M8" s="92" t="s">
        <v>677</v>
      </c>
    </row>
    <row r="9" spans="2:15">
      <c r="B9" s="110" t="s">
        <v>678</v>
      </c>
      <c r="C9" s="110" t="str">
        <f t="shared" si="0"/>
        <v>Scrubs</v>
      </c>
      <c r="E9" s="110" t="s">
        <v>679</v>
      </c>
      <c r="F9" s="110" t="s">
        <v>680</v>
      </c>
      <c r="H9" s="110" t="s">
        <v>681</v>
      </c>
      <c r="I9" s="92">
        <v>64</v>
      </c>
      <c r="J9" s="92" t="str">
        <f t="shared" si="1"/>
        <v>D</v>
      </c>
      <c r="L9" s="92">
        <v>70</v>
      </c>
      <c r="M9" s="92" t="s">
        <v>682</v>
      </c>
    </row>
    <row r="10" spans="2:15">
      <c r="B10" s="110" t="s">
        <v>683</v>
      </c>
      <c r="C10" s="110" t="str">
        <f t="shared" si="0"/>
        <v>House, M.D.</v>
      </c>
      <c r="E10" s="110" t="s">
        <v>684</v>
      </c>
      <c r="F10" s="110" t="s">
        <v>669</v>
      </c>
      <c r="H10" s="110" t="s">
        <v>685</v>
      </c>
      <c r="I10" s="92">
        <v>92</v>
      </c>
      <c r="J10" s="92" t="str">
        <f t="shared" si="1"/>
        <v>A-</v>
      </c>
      <c r="L10" s="92">
        <v>74</v>
      </c>
      <c r="M10" s="92" t="s">
        <v>122</v>
      </c>
    </row>
    <row r="11" spans="2:15">
      <c r="B11" s="110" t="s">
        <v>686</v>
      </c>
      <c r="C11" s="110" t="str">
        <f t="shared" si="0"/>
        <v>Blackadder</v>
      </c>
      <c r="E11" s="110" t="s">
        <v>687</v>
      </c>
      <c r="F11" s="110" t="s">
        <v>688</v>
      </c>
      <c r="H11" s="110" t="s">
        <v>689</v>
      </c>
      <c r="I11" s="92">
        <v>70</v>
      </c>
      <c r="J11" s="92" t="str">
        <f t="shared" si="1"/>
        <v>C-</v>
      </c>
      <c r="L11" s="92">
        <v>77</v>
      </c>
      <c r="M11" s="92" t="s">
        <v>690</v>
      </c>
    </row>
    <row r="12" spans="2:15">
      <c r="B12" s="110" t="s">
        <v>691</v>
      </c>
      <c r="C12" s="110" t="str">
        <f t="shared" si="0"/>
        <v>South Park</v>
      </c>
      <c r="E12" s="110" t="s">
        <v>692</v>
      </c>
      <c r="F12" s="110" t="s">
        <v>693</v>
      </c>
      <c r="H12" s="110" t="s">
        <v>694</v>
      </c>
      <c r="I12" s="92">
        <v>91</v>
      </c>
      <c r="J12" s="92" t="str">
        <f t="shared" si="1"/>
        <v>A-</v>
      </c>
      <c r="L12" s="92">
        <v>80</v>
      </c>
      <c r="M12" s="92" t="s">
        <v>695</v>
      </c>
    </row>
    <row r="13" spans="2:15">
      <c r="B13" s="110" t="s">
        <v>696</v>
      </c>
      <c r="C13" s="110" t="str">
        <f t="shared" si="0"/>
        <v>The X Files</v>
      </c>
      <c r="E13" s="110" t="s">
        <v>697</v>
      </c>
      <c r="F13" s="110" t="s">
        <v>698</v>
      </c>
      <c r="H13" s="110" t="s">
        <v>697</v>
      </c>
      <c r="I13" s="92">
        <v>96</v>
      </c>
      <c r="J13" s="92" t="str">
        <f t="shared" si="1"/>
        <v>A</v>
      </c>
      <c r="L13" s="92">
        <v>84</v>
      </c>
      <c r="M13" s="92" t="s">
        <v>120</v>
      </c>
    </row>
    <row r="14" spans="2:15">
      <c r="B14" s="110" t="s">
        <v>699</v>
      </c>
      <c r="C14" s="110" t="str">
        <f t="shared" si="0"/>
        <v>Seinfeld</v>
      </c>
      <c r="E14" s="110" t="s">
        <v>700</v>
      </c>
      <c r="F14" s="110" t="s">
        <v>701</v>
      </c>
      <c r="H14" s="110" t="s">
        <v>674</v>
      </c>
      <c r="I14" s="92">
        <v>68</v>
      </c>
      <c r="J14" s="92" t="str">
        <f t="shared" si="1"/>
        <v>D+</v>
      </c>
      <c r="L14" s="92">
        <v>87</v>
      </c>
      <c r="M14" s="92" t="s">
        <v>702</v>
      </c>
    </row>
    <row r="15" spans="2:15">
      <c r="B15" s="110" t="s">
        <v>703</v>
      </c>
      <c r="C15" s="110" t="str">
        <f t="shared" si="0"/>
        <v>Modern Family</v>
      </c>
      <c r="E15" s="110" t="s">
        <v>704</v>
      </c>
      <c r="F15" s="110">
        <v>24</v>
      </c>
      <c r="H15" s="110" t="s">
        <v>705</v>
      </c>
      <c r="I15" s="92">
        <v>51</v>
      </c>
      <c r="J15" s="92" t="str">
        <f t="shared" si="1"/>
        <v>F</v>
      </c>
      <c r="L15" s="92">
        <v>90</v>
      </c>
      <c r="M15" s="92" t="s">
        <v>706</v>
      </c>
    </row>
    <row r="16" spans="2:15">
      <c r="B16" s="110" t="s">
        <v>707</v>
      </c>
      <c r="C16" s="110" t="str">
        <f t="shared" si="0"/>
        <v>King of the Hill</v>
      </c>
      <c r="E16" s="110" t="s">
        <v>703</v>
      </c>
      <c r="F16" s="110" t="s">
        <v>708</v>
      </c>
      <c r="H16" s="110" t="s">
        <v>709</v>
      </c>
      <c r="I16" s="92">
        <v>94</v>
      </c>
      <c r="J16" s="92" t="str">
        <f t="shared" si="1"/>
        <v>A</v>
      </c>
      <c r="L16" s="92">
        <v>94</v>
      </c>
      <c r="M16" s="92" t="s">
        <v>118</v>
      </c>
    </row>
    <row r="17" spans="2:13">
      <c r="B17" s="110" t="s">
        <v>681</v>
      </c>
      <c r="C17" s="110" t="str">
        <f t="shared" si="0"/>
        <v>Night Court</v>
      </c>
      <c r="E17" s="110" t="s">
        <v>710</v>
      </c>
      <c r="F17" s="110">
        <v>24</v>
      </c>
      <c r="H17" s="110" t="s">
        <v>668</v>
      </c>
      <c r="I17" s="92">
        <v>74</v>
      </c>
      <c r="J17" s="92" t="str">
        <f t="shared" si="1"/>
        <v>C</v>
      </c>
      <c r="L17" s="92">
        <v>97</v>
      </c>
      <c r="M17" s="92" t="s">
        <v>711</v>
      </c>
    </row>
    <row r="18" spans="2:13">
      <c r="B18" s="110" t="s">
        <v>700</v>
      </c>
      <c r="C18" s="110" t="str">
        <f t="shared" si="0"/>
        <v>3rd Rock from the Sun</v>
      </c>
      <c r="E18" s="110" t="s">
        <v>699</v>
      </c>
      <c r="F18" s="110" t="s">
        <v>712</v>
      </c>
      <c r="H18" s="110" t="s">
        <v>713</v>
      </c>
      <c r="I18" s="92">
        <v>53</v>
      </c>
      <c r="J18" s="92" t="str">
        <f t="shared" si="1"/>
        <v>F</v>
      </c>
    </row>
    <row r="19" spans="2:13">
      <c r="B19" s="110" t="s">
        <v>713</v>
      </c>
      <c r="C19" s="110" t="str">
        <f t="shared" si="0"/>
        <v>The Simpsons</v>
      </c>
      <c r="E19" s="110" t="s">
        <v>714</v>
      </c>
      <c r="F19" s="110" t="s">
        <v>708</v>
      </c>
      <c r="H19" s="110" t="s">
        <v>678</v>
      </c>
      <c r="I19" s="92">
        <v>89</v>
      </c>
      <c r="J19" s="92" t="str">
        <f t="shared" si="1"/>
        <v>B+</v>
      </c>
    </row>
    <row r="20" spans="2:13">
      <c r="B20" s="110" t="s">
        <v>715</v>
      </c>
      <c r="C20" s="110" t="str">
        <f t="shared" si="0"/>
        <v>Lost</v>
      </c>
      <c r="E20" s="110" t="s">
        <v>705</v>
      </c>
      <c r="F20" s="110" t="s">
        <v>716</v>
      </c>
      <c r="H20" s="110" t="s">
        <v>717</v>
      </c>
      <c r="I20" s="92">
        <v>55</v>
      </c>
      <c r="J20" s="92" t="str">
        <f t="shared" si="1"/>
        <v>F</v>
      </c>
    </row>
    <row r="21" spans="2:13">
      <c r="B21" s="110" t="s">
        <v>710</v>
      </c>
      <c r="C21" s="110">
        <f t="shared" si="0"/>
        <v>24</v>
      </c>
      <c r="E21" s="110" t="s">
        <v>707</v>
      </c>
      <c r="F21" s="110" t="s">
        <v>718</v>
      </c>
      <c r="H21" s="110" t="s">
        <v>683</v>
      </c>
      <c r="I21" s="92">
        <v>79</v>
      </c>
      <c r="J21" s="92" t="str">
        <f t="shared" si="1"/>
        <v>C+</v>
      </c>
    </row>
    <row r="22" spans="2:13">
      <c r="B22" s="110" t="s">
        <v>719</v>
      </c>
      <c r="C22" s="110" t="str">
        <f t="shared" si="0"/>
        <v>Without A Trace</v>
      </c>
      <c r="E22" s="110" t="s">
        <v>720</v>
      </c>
      <c r="F22" s="110" t="s">
        <v>721</v>
      </c>
      <c r="H22" s="110" t="s">
        <v>667</v>
      </c>
      <c r="I22" s="92">
        <v>98</v>
      </c>
      <c r="J22" s="92" t="str">
        <f t="shared" si="1"/>
        <v>A+</v>
      </c>
    </row>
    <row r="23" spans="2:13">
      <c r="B23" s="110" t="s">
        <v>679</v>
      </c>
      <c r="C23" s="110" t="str">
        <f t="shared" si="0"/>
        <v>Curb Your Enthusiasm</v>
      </c>
      <c r="E23" s="110" t="s">
        <v>722</v>
      </c>
      <c r="F23" s="110" t="s">
        <v>723</v>
      </c>
      <c r="H23" s="110" t="s">
        <v>715</v>
      </c>
      <c r="I23" s="92">
        <v>95</v>
      </c>
      <c r="J23" s="92" t="str">
        <f t="shared" si="1"/>
        <v>A</v>
      </c>
    </row>
    <row r="24" spans="2:13">
      <c r="B24" s="110" t="s">
        <v>689</v>
      </c>
      <c r="C24" s="110" t="str">
        <f t="shared" si="0"/>
        <v>Taxi</v>
      </c>
      <c r="E24" s="110" t="s">
        <v>685</v>
      </c>
      <c r="F24" s="110" t="s">
        <v>724</v>
      </c>
      <c r="H24" s="110" t="s">
        <v>725</v>
      </c>
      <c r="I24" s="92">
        <v>63</v>
      </c>
      <c r="J24" s="92" t="str">
        <f t="shared" si="1"/>
        <v>D-</v>
      </c>
    </row>
    <row r="25" spans="2:13">
      <c r="B25" s="110" t="s">
        <v>694</v>
      </c>
      <c r="C25" s="110" t="str">
        <f t="shared" si="0"/>
        <v>Lost</v>
      </c>
      <c r="E25" s="110" t="s">
        <v>717</v>
      </c>
      <c r="F25" s="110" t="s">
        <v>726</v>
      </c>
      <c r="H25" s="110" t="s">
        <v>700</v>
      </c>
      <c r="I25" s="92">
        <v>57</v>
      </c>
      <c r="J25" s="92" t="str">
        <f t="shared" si="1"/>
        <v>F</v>
      </c>
    </row>
    <row r="26" spans="2:13">
      <c r="B26" s="110" t="s">
        <v>704</v>
      </c>
      <c r="C26" s="110">
        <f t="shared" si="0"/>
        <v>24</v>
      </c>
      <c r="E26" s="110" t="s">
        <v>727</v>
      </c>
      <c r="F26" s="110" t="s">
        <v>728</v>
      </c>
      <c r="H26" s="110" t="s">
        <v>707</v>
      </c>
      <c r="I26" s="92">
        <v>91</v>
      </c>
      <c r="J26" s="92" t="str">
        <f t="shared" si="1"/>
        <v>A-</v>
      </c>
    </row>
    <row r="27" spans="2:13">
      <c r="B27" s="110" t="s">
        <v>729</v>
      </c>
      <c r="C27" s="110" t="str">
        <f t="shared" si="0"/>
        <v>30 Rock</v>
      </c>
      <c r="E27" s="110" t="s">
        <v>681</v>
      </c>
      <c r="F27" s="110" t="s">
        <v>730</v>
      </c>
      <c r="H27" s="110" t="s">
        <v>663</v>
      </c>
      <c r="I27" s="92">
        <v>95</v>
      </c>
      <c r="J27" s="92" t="str">
        <f t="shared" si="1"/>
        <v>A</v>
      </c>
    </row>
    <row r="28" spans="2:13">
      <c r="B28" s="110" t="s">
        <v>725</v>
      </c>
      <c r="C28" s="110" t="str">
        <f t="shared" si="0"/>
        <v>Gilmore Girls</v>
      </c>
      <c r="E28" s="110" t="s">
        <v>663</v>
      </c>
      <c r="F28" s="110" t="s">
        <v>724</v>
      </c>
      <c r="H28" s="110" t="s">
        <v>692</v>
      </c>
      <c r="I28" s="92">
        <v>97</v>
      </c>
      <c r="J28" s="92" t="str">
        <f t="shared" si="1"/>
        <v>A+</v>
      </c>
    </row>
    <row r="29" spans="2:13">
      <c r="B29" s="110" t="s">
        <v>705</v>
      </c>
      <c r="C29" s="110" t="str">
        <f t="shared" si="0"/>
        <v>Desperate Housewives</v>
      </c>
      <c r="E29" s="110" t="s">
        <v>691</v>
      </c>
      <c r="F29" s="110" t="s">
        <v>731</v>
      </c>
      <c r="H29" s="110" t="s">
        <v>722</v>
      </c>
      <c r="I29" s="92">
        <v>97</v>
      </c>
      <c r="J29" s="92" t="str">
        <f t="shared" si="1"/>
        <v>A+</v>
      </c>
    </row>
    <row r="30" spans="2:13">
      <c r="B30" s="110" t="s">
        <v>664</v>
      </c>
      <c r="C30" s="110" t="str">
        <f t="shared" si="0"/>
        <v>Moonlighting</v>
      </c>
      <c r="E30" s="110" t="s">
        <v>732</v>
      </c>
      <c r="F30" s="110" t="s">
        <v>733</v>
      </c>
      <c r="H30" s="110" t="s">
        <v>687</v>
      </c>
      <c r="I30" s="92">
        <v>70</v>
      </c>
      <c r="J30" s="92" t="str">
        <f t="shared" si="1"/>
        <v>C-</v>
      </c>
    </row>
    <row r="31" spans="2:13">
      <c r="B31" s="110" t="s">
        <v>687</v>
      </c>
      <c r="C31" s="110" t="str">
        <f t="shared" si="0"/>
        <v>Friday Night Lights</v>
      </c>
      <c r="E31" s="110" t="s">
        <v>676</v>
      </c>
      <c r="F31" s="110" t="s">
        <v>734</v>
      </c>
      <c r="H31" s="110" t="s">
        <v>699</v>
      </c>
      <c r="I31" s="92">
        <v>55</v>
      </c>
      <c r="J31" s="92" t="str">
        <f t="shared" si="1"/>
        <v>F</v>
      </c>
    </row>
    <row r="32" spans="2:13">
      <c r="B32" s="110" t="s">
        <v>727</v>
      </c>
      <c r="C32" s="110" t="str">
        <f t="shared" si="0"/>
        <v>Friends</v>
      </c>
      <c r="E32" s="110" t="s">
        <v>735</v>
      </c>
      <c r="F32" s="110" t="s">
        <v>736</v>
      </c>
      <c r="H32" s="110" t="s">
        <v>719</v>
      </c>
      <c r="I32" s="92">
        <v>89</v>
      </c>
      <c r="J32" s="92" t="str">
        <f t="shared" si="1"/>
        <v>B+</v>
      </c>
    </row>
    <row r="33" spans="2:10">
      <c r="B33" s="110" t="s">
        <v>737</v>
      </c>
      <c r="C33" s="110" t="str">
        <f t="shared" si="0"/>
        <v>Monk</v>
      </c>
      <c r="E33" s="110" t="s">
        <v>709</v>
      </c>
      <c r="F33" s="110" t="s">
        <v>738</v>
      </c>
      <c r="H33" s="110" t="s">
        <v>739</v>
      </c>
      <c r="I33" s="92">
        <v>77</v>
      </c>
      <c r="J33" s="92" t="str">
        <f t="shared" si="1"/>
        <v>C+</v>
      </c>
    </row>
    <row r="34" spans="2:10">
      <c r="B34" s="110" t="s">
        <v>740</v>
      </c>
      <c r="C34" s="110" t="str">
        <f t="shared" si="0"/>
        <v>Frasier</v>
      </c>
      <c r="E34" s="110" t="s">
        <v>741</v>
      </c>
      <c r="F34" s="110" t="s">
        <v>742</v>
      </c>
      <c r="H34" s="110" t="s">
        <v>720</v>
      </c>
      <c r="I34" s="92">
        <v>90</v>
      </c>
      <c r="J34" s="92" t="str">
        <f t="shared" si="1"/>
        <v>A-</v>
      </c>
    </row>
    <row r="35" spans="2:10">
      <c r="B35" s="110" t="s">
        <v>684</v>
      </c>
      <c r="C35" s="110" t="str">
        <f t="shared" si="0"/>
        <v>Cheers</v>
      </c>
      <c r="E35" s="110" t="s">
        <v>696</v>
      </c>
      <c r="F35" s="110" t="s">
        <v>743</v>
      </c>
      <c r="H35" s="110" t="s">
        <v>710</v>
      </c>
      <c r="I35" s="92">
        <v>79</v>
      </c>
      <c r="J35" s="92" t="str">
        <f t="shared" si="1"/>
        <v>C+</v>
      </c>
    </row>
    <row r="36" spans="2:10">
      <c r="B36" s="110" t="s">
        <v>714</v>
      </c>
      <c r="C36" s="110" t="str">
        <f t="shared" si="0"/>
        <v>Modern Family</v>
      </c>
      <c r="E36" s="110" t="s">
        <v>719</v>
      </c>
      <c r="F36" s="110" t="s">
        <v>744</v>
      </c>
      <c r="H36" s="110" t="s">
        <v>704</v>
      </c>
      <c r="I36" s="92">
        <v>84</v>
      </c>
      <c r="J36" s="92" t="str">
        <f t="shared" si="1"/>
        <v>B</v>
      </c>
    </row>
    <row r="37" spans="2:10">
      <c r="B37" s="110" t="s">
        <v>735</v>
      </c>
      <c r="C37" s="110" t="str">
        <f t="shared" si="0"/>
        <v>Futurama</v>
      </c>
      <c r="E37" s="110" t="s">
        <v>694</v>
      </c>
      <c r="F37" s="110" t="s">
        <v>742</v>
      </c>
      <c r="H37" s="110" t="s">
        <v>679</v>
      </c>
      <c r="I37" s="92">
        <v>56</v>
      </c>
      <c r="J37" s="92" t="str">
        <f t="shared" si="1"/>
        <v>F</v>
      </c>
    </row>
    <row r="38" spans="2:10">
      <c r="E38" s="110" t="s">
        <v>689</v>
      </c>
      <c r="F38" s="110" t="s">
        <v>745</v>
      </c>
      <c r="H38" s="110" t="s">
        <v>684</v>
      </c>
      <c r="I38" s="92">
        <v>52</v>
      </c>
      <c r="J38" s="92" t="str">
        <f t="shared" si="1"/>
        <v>F</v>
      </c>
    </row>
    <row r="39" spans="2:10">
      <c r="E39" s="110" t="s">
        <v>713</v>
      </c>
      <c r="F39" s="110" t="s">
        <v>746</v>
      </c>
      <c r="H39" s="110" t="s">
        <v>691</v>
      </c>
      <c r="I39" s="92">
        <v>94</v>
      </c>
      <c r="J39" s="92" t="str">
        <f t="shared" si="1"/>
        <v>A</v>
      </c>
    </row>
    <row r="40" spans="2:10">
      <c r="E40" s="110" t="s">
        <v>686</v>
      </c>
      <c r="F40" s="110" t="s">
        <v>747</v>
      </c>
      <c r="H40" s="110" t="s">
        <v>737</v>
      </c>
      <c r="I40" s="92">
        <v>55</v>
      </c>
      <c r="J40" s="92" t="str">
        <f t="shared" si="1"/>
        <v>F</v>
      </c>
    </row>
    <row r="41" spans="2:10">
      <c r="E41" s="110" t="s">
        <v>739</v>
      </c>
      <c r="F41" s="110" t="s">
        <v>748</v>
      </c>
      <c r="H41" s="110" t="s">
        <v>672</v>
      </c>
      <c r="I41" s="92">
        <v>54</v>
      </c>
      <c r="J41" s="92" t="str">
        <f t="shared" si="1"/>
        <v>F</v>
      </c>
    </row>
    <row r="42" spans="2:10">
      <c r="E42" s="110" t="s">
        <v>678</v>
      </c>
      <c r="F42" s="110" t="s">
        <v>726</v>
      </c>
      <c r="J42" s="79"/>
    </row>
    <row r="43" spans="2:10">
      <c r="E43" s="110" t="s">
        <v>666</v>
      </c>
      <c r="F43" s="110" t="s">
        <v>728</v>
      </c>
      <c r="J43" s="79"/>
    </row>
    <row r="44" spans="2:10">
      <c r="E44" s="110" t="s">
        <v>667</v>
      </c>
      <c r="F44" s="110" t="s">
        <v>749</v>
      </c>
      <c r="J44" s="79"/>
    </row>
    <row r="45" spans="2:10">
      <c r="E45" s="110" t="s">
        <v>737</v>
      </c>
      <c r="F45" s="110" t="s">
        <v>675</v>
      </c>
      <c r="J45" s="79"/>
    </row>
    <row r="46" spans="2:10">
      <c r="E46" s="110" t="s">
        <v>683</v>
      </c>
      <c r="F46" s="110" t="s">
        <v>750</v>
      </c>
      <c r="J46" s="79"/>
    </row>
    <row r="47" spans="2:10">
      <c r="E47" s="110" t="s">
        <v>673</v>
      </c>
      <c r="F47" s="110" t="s">
        <v>751</v>
      </c>
      <c r="J47" s="79"/>
    </row>
    <row r="48" spans="2:10">
      <c r="E48" s="110" t="s">
        <v>715</v>
      </c>
      <c r="F48" s="110" t="s">
        <v>742</v>
      </c>
      <c r="J48" s="79"/>
    </row>
    <row r="49" spans="5:10">
      <c r="E49" s="110" t="s">
        <v>725</v>
      </c>
      <c r="F49" s="110" t="s">
        <v>752</v>
      </c>
      <c r="J49" s="79"/>
    </row>
    <row r="50" spans="5:10">
      <c r="E50" s="110" t="s">
        <v>740</v>
      </c>
      <c r="F50" s="110" t="s">
        <v>753</v>
      </c>
      <c r="J50" s="79"/>
    </row>
    <row r="51" spans="5:10">
      <c r="E51" s="110" t="s">
        <v>729</v>
      </c>
      <c r="F51" s="110" t="s">
        <v>754</v>
      </c>
      <c r="J51" s="79"/>
    </row>
    <row r="52" spans="5:10">
      <c r="E52" s="110" t="s">
        <v>670</v>
      </c>
      <c r="F52" s="110" t="s">
        <v>755</v>
      </c>
      <c r="J52" s="79"/>
    </row>
    <row r="53" spans="5:10">
      <c r="J53" s="79"/>
    </row>
  </sheetData>
  <mergeCells count="1">
    <mergeCell ref="B1:C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6E266-94F2-4641-89D3-76FE2F4D2BC7}">
  <sheetPr codeName="Sheet23"/>
  <dimension ref="A1:C87"/>
  <sheetViews>
    <sheetView showOutlineSymbols="0" showWhiteSpace="0" workbookViewId="0"/>
  </sheetViews>
  <sheetFormatPr defaultRowHeight="14.4"/>
  <cols>
    <col min="1" max="1" width="166.88671875" customWidth="1"/>
    <col min="2" max="2" width="17.44140625" customWidth="1"/>
  </cols>
  <sheetData>
    <row r="1" spans="1:2" ht="21">
      <c r="A1" s="18" t="s">
        <v>261</v>
      </c>
    </row>
    <row r="2" spans="1:2" ht="15.6">
      <c r="A2" s="1"/>
    </row>
    <row r="3" spans="1:2" ht="15.6">
      <c r="A3" s="3" t="s">
        <v>262</v>
      </c>
    </row>
    <row r="4" spans="1:2" ht="15.6">
      <c r="A4" s="3" t="s">
        <v>263</v>
      </c>
    </row>
    <row r="5" spans="1:2" ht="15.6">
      <c r="A5" s="3" t="s">
        <v>264</v>
      </c>
    </row>
    <row r="6" spans="1:2" ht="15.6">
      <c r="A6" s="3" t="s">
        <v>265</v>
      </c>
    </row>
    <row r="7" spans="1:2" ht="62.4">
      <c r="A7" s="3" t="s">
        <v>266</v>
      </c>
    </row>
    <row r="8" spans="1:2" ht="15.6">
      <c r="A8" s="3"/>
    </row>
    <row r="9" spans="1:2" ht="15.6">
      <c r="A9" s="17" t="s">
        <v>267</v>
      </c>
    </row>
    <row r="10" spans="1:2" ht="31.2">
      <c r="A10" s="3" t="s">
        <v>306</v>
      </c>
    </row>
    <row r="11" spans="1:2" ht="15.6">
      <c r="A11" s="3"/>
    </row>
    <row r="12" spans="1:2" ht="15.6">
      <c r="A12" s="46" t="s">
        <v>269</v>
      </c>
      <c r="B12" s="46" t="s">
        <v>268</v>
      </c>
    </row>
    <row r="13" spans="1:2" ht="31.2">
      <c r="A13" s="6" t="s">
        <v>270</v>
      </c>
      <c r="B13" s="6" t="s">
        <v>307</v>
      </c>
    </row>
    <row r="14" spans="1:2" ht="15.6">
      <c r="A14" s="6" t="s">
        <v>272</v>
      </c>
      <c r="B14" s="6" t="s">
        <v>271</v>
      </c>
    </row>
    <row r="15" spans="1:2" ht="31.2">
      <c r="A15" s="6" t="s">
        <v>273</v>
      </c>
      <c r="B15" s="6" t="s">
        <v>308</v>
      </c>
    </row>
    <row r="16" spans="1:2" ht="15.6">
      <c r="A16" s="6" t="s">
        <v>275</v>
      </c>
      <c r="B16" s="6" t="s">
        <v>274</v>
      </c>
    </row>
    <row r="17" spans="1:2" ht="15.6">
      <c r="A17" s="36"/>
      <c r="B17" s="36"/>
    </row>
    <row r="18" spans="1:2" ht="15.6">
      <c r="A18" s="1" t="s">
        <v>571</v>
      </c>
    </row>
    <row r="19" spans="1:2" ht="15.6">
      <c r="A19" s="2" t="s">
        <v>276</v>
      </c>
    </row>
    <row r="20" spans="1:2" ht="15.6">
      <c r="A20" s="2" t="s">
        <v>277</v>
      </c>
    </row>
    <row r="21" spans="1:2" ht="15.6">
      <c r="A21" s="2" t="s">
        <v>278</v>
      </c>
    </row>
    <row r="22" spans="1:2" ht="15.6">
      <c r="A22" s="2" t="s">
        <v>279</v>
      </c>
    </row>
    <row r="23" spans="1:2" ht="15.6">
      <c r="A23" s="2" t="s">
        <v>280</v>
      </c>
    </row>
    <row r="24" spans="1:2" ht="15.6">
      <c r="A24" s="3"/>
    </row>
    <row r="25" spans="1:2" ht="15.6">
      <c r="A25" s="17" t="s">
        <v>281</v>
      </c>
    </row>
    <row r="26" spans="1:2" ht="15.6">
      <c r="A26" s="3" t="s">
        <v>282</v>
      </c>
    </row>
    <row r="27" spans="1:2" ht="31.2">
      <c r="A27" s="3" t="s">
        <v>283</v>
      </c>
    </row>
    <row r="28" spans="1:2" ht="31.2">
      <c r="A28" s="3" t="s">
        <v>309</v>
      </c>
    </row>
    <row r="29" spans="1:2" ht="15.6">
      <c r="A29" s="3"/>
    </row>
    <row r="30" spans="1:2" ht="15.6">
      <c r="A30" s="17" t="s">
        <v>284</v>
      </c>
    </row>
    <row r="31" spans="1:2" ht="31.2">
      <c r="A31" s="3" t="s">
        <v>285</v>
      </c>
    </row>
    <row r="32" spans="1:2" ht="15.6">
      <c r="A32" s="2" t="s">
        <v>286</v>
      </c>
    </row>
    <row r="33" spans="1:3" ht="15.6">
      <c r="A33" s="2" t="s">
        <v>310</v>
      </c>
    </row>
    <row r="34" spans="1:3" ht="15.6">
      <c r="A34" s="2"/>
    </row>
    <row r="35" spans="1:3" ht="15.6">
      <c r="A35" s="2" t="s">
        <v>571</v>
      </c>
    </row>
    <row r="36" spans="1:3" ht="15.6">
      <c r="A36" s="17" t="s">
        <v>287</v>
      </c>
    </row>
    <row r="37" spans="1:3" ht="15.6">
      <c r="A37" s="323" t="s">
        <v>288</v>
      </c>
      <c r="B37" s="323"/>
      <c r="C37" s="322"/>
    </row>
    <row r="38" spans="1:3" ht="15.6">
      <c r="A38" s="322" t="s">
        <v>289</v>
      </c>
      <c r="B38" s="322"/>
      <c r="C38" s="322"/>
    </row>
    <row r="39" spans="1:3" ht="15.6">
      <c r="A39" s="322" t="s">
        <v>290</v>
      </c>
      <c r="B39" s="322"/>
      <c r="C39" s="322"/>
    </row>
    <row r="40" spans="1:3" ht="15.6">
      <c r="A40" s="322" t="s">
        <v>311</v>
      </c>
      <c r="B40" s="322"/>
      <c r="C40" s="322"/>
    </row>
    <row r="41" spans="1:3" ht="15.6">
      <c r="A41" s="322" t="s">
        <v>291</v>
      </c>
      <c r="B41" s="322"/>
      <c r="C41" s="322"/>
    </row>
    <row r="42" spans="1:3" ht="15.6">
      <c r="A42" s="37"/>
      <c r="B42" s="37"/>
      <c r="C42" s="322"/>
    </row>
    <row r="43" spans="1:3" ht="15.6">
      <c r="A43" s="113" t="s">
        <v>292</v>
      </c>
      <c r="B43" s="37"/>
      <c r="C43" s="322"/>
    </row>
    <row r="44" spans="1:3" ht="15.6">
      <c r="A44" s="322" t="s">
        <v>293</v>
      </c>
      <c r="B44" s="322"/>
      <c r="C44" s="322"/>
    </row>
    <row r="45" spans="1:3" ht="15.6">
      <c r="A45" s="322" t="s">
        <v>294</v>
      </c>
      <c r="B45" s="322"/>
      <c r="C45" s="322"/>
    </row>
    <row r="46" spans="1:3" ht="15.6">
      <c r="A46" s="322" t="s">
        <v>295</v>
      </c>
      <c r="B46" s="322"/>
      <c r="C46" s="322"/>
    </row>
    <row r="47" spans="1:3" ht="15.6">
      <c r="A47" s="37"/>
      <c r="B47" s="37"/>
      <c r="C47" s="322"/>
    </row>
    <row r="48" spans="1:3" ht="15.6">
      <c r="A48" s="113" t="s">
        <v>296</v>
      </c>
      <c r="B48" s="37"/>
      <c r="C48" s="322"/>
    </row>
    <row r="49" spans="1:3" ht="15.6">
      <c r="A49" s="36" t="s">
        <v>297</v>
      </c>
      <c r="B49" s="323"/>
      <c r="C49" s="323"/>
    </row>
    <row r="50" spans="1:3" ht="15.6">
      <c r="A50" s="37" t="s">
        <v>298</v>
      </c>
      <c r="B50" s="322"/>
      <c r="C50" s="322"/>
    </row>
    <row r="51" spans="1:3" ht="15.6">
      <c r="A51" s="37" t="s">
        <v>299</v>
      </c>
      <c r="B51" s="321"/>
      <c r="C51" s="321"/>
    </row>
    <row r="52" spans="1:3" ht="15.6">
      <c r="A52" s="37" t="s">
        <v>300</v>
      </c>
      <c r="B52" s="321"/>
      <c r="C52" s="321"/>
    </row>
    <row r="53" spans="1:3" ht="15.6">
      <c r="A53" s="37" t="s">
        <v>301</v>
      </c>
      <c r="B53" s="321"/>
      <c r="C53" s="321"/>
    </row>
    <row r="54" spans="1:3" ht="31.2">
      <c r="A54" s="36" t="s">
        <v>302</v>
      </c>
      <c r="B54" s="321"/>
      <c r="C54" s="321"/>
    </row>
    <row r="55" spans="1:3" ht="15.6">
      <c r="A55" s="36"/>
      <c r="B55" s="321"/>
      <c r="C55" s="321"/>
    </row>
    <row r="56" spans="1:3" ht="15.6">
      <c r="A56" s="47" t="s">
        <v>303</v>
      </c>
      <c r="B56" s="321"/>
      <c r="C56" s="321"/>
    </row>
    <row r="57" spans="1:3" ht="15.6">
      <c r="A57" s="36"/>
      <c r="B57" s="36"/>
      <c r="C57" s="36"/>
    </row>
    <row r="58" spans="1:3" ht="31.2">
      <c r="A58" s="3" t="s">
        <v>304</v>
      </c>
    </row>
    <row r="59" spans="1:3" ht="46.8">
      <c r="A59" s="3" t="s">
        <v>305</v>
      </c>
    </row>
    <row r="60" spans="1:3" ht="15.6">
      <c r="A60" s="2" t="s">
        <v>312</v>
      </c>
    </row>
    <row r="61" spans="1:3" ht="15.6">
      <c r="A61" s="2"/>
    </row>
    <row r="62" spans="1:3" ht="15.6">
      <c r="A62" s="2" t="s">
        <v>313</v>
      </c>
    </row>
    <row r="63" spans="1:3" ht="15.6">
      <c r="A63" s="3"/>
    </row>
    <row r="64" spans="1:3" ht="15.6">
      <c r="A64" s="3"/>
    </row>
    <row r="65" spans="1:1" ht="15.6">
      <c r="A65" s="3"/>
    </row>
    <row r="66" spans="1:1" ht="15.6">
      <c r="A66" s="3"/>
    </row>
    <row r="67" spans="1:1" ht="15.6">
      <c r="A67" s="3"/>
    </row>
    <row r="68" spans="1:1" ht="15.6">
      <c r="A68" s="3"/>
    </row>
    <row r="69" spans="1:1" ht="15.6">
      <c r="A69" s="3"/>
    </row>
    <row r="70" spans="1:1" ht="15.6">
      <c r="A70" s="3"/>
    </row>
    <row r="71" spans="1:1" ht="15.6">
      <c r="A71" s="3"/>
    </row>
    <row r="72" spans="1:1" ht="15.6">
      <c r="A72" s="3"/>
    </row>
    <row r="73" spans="1:1" ht="15.6">
      <c r="A73" s="3"/>
    </row>
    <row r="74" spans="1:1" ht="15.6">
      <c r="A74" s="3"/>
    </row>
    <row r="75" spans="1:1" ht="15.6">
      <c r="A75" s="3"/>
    </row>
    <row r="76" spans="1:1" ht="15.6">
      <c r="A76" s="3"/>
    </row>
    <row r="77" spans="1:1" ht="15.6">
      <c r="A77" s="3"/>
    </row>
    <row r="78" spans="1:1" ht="15.6">
      <c r="A78" s="3"/>
    </row>
    <row r="79" spans="1:1" ht="15.6">
      <c r="A79" s="3"/>
    </row>
    <row r="80" spans="1:1" ht="15.6">
      <c r="A80" s="3"/>
    </row>
    <row r="81" spans="1:1" ht="15.6">
      <c r="A81" s="3"/>
    </row>
    <row r="82" spans="1:1" ht="15.6">
      <c r="A82" s="3"/>
    </row>
    <row r="83" spans="1:1" ht="15.6">
      <c r="A83" s="3"/>
    </row>
    <row r="84" spans="1:1" ht="15.6">
      <c r="A84" s="3"/>
    </row>
    <row r="85" spans="1:1" ht="15.6">
      <c r="A85" s="3"/>
    </row>
    <row r="86" spans="1:1" ht="15.6">
      <c r="A86" s="3"/>
    </row>
    <row r="87" spans="1:1" ht="15.6">
      <c r="A87" s="3"/>
    </row>
  </sheetData>
  <mergeCells count="18">
    <mergeCell ref="B51:C51"/>
    <mergeCell ref="A41:B41"/>
    <mergeCell ref="C37:C43"/>
    <mergeCell ref="A44:B44"/>
    <mergeCell ref="A45:B45"/>
    <mergeCell ref="A37:B37"/>
    <mergeCell ref="A38:B38"/>
    <mergeCell ref="A39:B39"/>
    <mergeCell ref="A40:B40"/>
    <mergeCell ref="A46:B46"/>
    <mergeCell ref="C44:C48"/>
    <mergeCell ref="B49:C49"/>
    <mergeCell ref="B50:C50"/>
    <mergeCell ref="B52:C52"/>
    <mergeCell ref="B53:C53"/>
    <mergeCell ref="B54:C54"/>
    <mergeCell ref="B55:C55"/>
    <mergeCell ref="B56:C56"/>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58762-EBE6-4DDD-9BBA-777003CFBD61}">
  <sheetPr codeName="Sheet24">
    <tabColor rgb="FFFFC000"/>
  </sheetPr>
  <dimension ref="A1:J16"/>
  <sheetViews>
    <sheetView showOutlineSymbols="0" showWhiteSpace="0" workbookViewId="0"/>
  </sheetViews>
  <sheetFormatPr defaultRowHeight="14.4"/>
  <cols>
    <col min="1" max="1" width="10" bestFit="1" customWidth="1"/>
    <col min="2" max="2" width="5.88671875" bestFit="1" customWidth="1"/>
    <col min="3" max="3" width="9.6640625" bestFit="1" customWidth="1"/>
    <col min="4" max="4" width="16.5546875" bestFit="1" customWidth="1"/>
    <col min="5" max="5" width="7.88671875" bestFit="1" customWidth="1"/>
    <col min="6" max="6" width="6.77734375" bestFit="1" customWidth="1"/>
    <col min="7" max="8" width="7.88671875" bestFit="1" customWidth="1"/>
    <col min="9" max="9" width="6.77734375" bestFit="1" customWidth="1"/>
    <col min="10" max="10" width="7.88671875" bestFit="1" customWidth="1"/>
  </cols>
  <sheetData>
    <row r="1" spans="1:10">
      <c r="A1" s="21" t="s">
        <v>193</v>
      </c>
      <c r="B1" s="21" t="s">
        <v>140</v>
      </c>
      <c r="C1" s="21" t="s">
        <v>194</v>
      </c>
      <c r="D1" s="21" t="s">
        <v>199</v>
      </c>
      <c r="E1" s="21" t="s">
        <v>195</v>
      </c>
      <c r="F1" s="21" t="s">
        <v>103</v>
      </c>
      <c r="G1" s="21" t="s">
        <v>104</v>
      </c>
      <c r="H1" s="21" t="s">
        <v>196</v>
      </c>
      <c r="I1" s="21" t="s">
        <v>197</v>
      </c>
      <c r="J1" s="21" t="s">
        <v>198</v>
      </c>
    </row>
    <row r="2" spans="1:10">
      <c r="A2" s="16" t="s">
        <v>200</v>
      </c>
      <c r="B2" s="16" t="s">
        <v>141</v>
      </c>
      <c r="C2" s="45" t="s">
        <v>201</v>
      </c>
      <c r="D2" s="16" t="s">
        <v>202</v>
      </c>
      <c r="E2" s="22">
        <v>4789</v>
      </c>
      <c r="F2" s="22">
        <v>2394.5</v>
      </c>
      <c r="G2" s="22">
        <v>3591.75</v>
      </c>
      <c r="H2" s="22">
        <v>10775.25</v>
      </c>
      <c r="I2" s="22">
        <v>1077.5250000000001</v>
      </c>
      <c r="J2" s="22">
        <v>9697.7250000000004</v>
      </c>
    </row>
    <row r="3" spans="1:10">
      <c r="A3" s="16" t="s">
        <v>203</v>
      </c>
      <c r="B3" s="16" t="s">
        <v>142</v>
      </c>
      <c r="C3" s="45" t="s">
        <v>153</v>
      </c>
      <c r="D3" s="16" t="s">
        <v>204</v>
      </c>
      <c r="E3" s="22">
        <v>4700</v>
      </c>
      <c r="F3" s="22">
        <v>2350</v>
      </c>
      <c r="G3" s="22">
        <v>3525</v>
      </c>
      <c r="H3" s="22">
        <v>10575</v>
      </c>
      <c r="I3" s="22">
        <v>1057.5</v>
      </c>
      <c r="J3" s="22">
        <v>9517.5</v>
      </c>
    </row>
    <row r="4" spans="1:10">
      <c r="A4" s="16" t="s">
        <v>205</v>
      </c>
      <c r="B4" s="16" t="s">
        <v>141</v>
      </c>
      <c r="C4" s="45" t="s">
        <v>152</v>
      </c>
      <c r="D4" s="16" t="s">
        <v>202</v>
      </c>
      <c r="E4" s="22">
        <v>11980</v>
      </c>
      <c r="F4" s="22">
        <v>5990</v>
      </c>
      <c r="G4" s="22">
        <v>8985</v>
      </c>
      <c r="H4" s="22">
        <v>26955</v>
      </c>
      <c r="I4" s="22">
        <v>2695.5</v>
      </c>
      <c r="J4" s="22">
        <v>24259.5</v>
      </c>
    </row>
    <row r="5" spans="1:10">
      <c r="A5" s="16" t="s">
        <v>206</v>
      </c>
      <c r="B5" s="16" t="s">
        <v>143</v>
      </c>
      <c r="C5" s="45" t="s">
        <v>154</v>
      </c>
      <c r="D5" s="16" t="s">
        <v>207</v>
      </c>
      <c r="E5" s="22">
        <v>6500</v>
      </c>
      <c r="F5" s="22">
        <v>3250</v>
      </c>
      <c r="G5" s="22">
        <v>4875</v>
      </c>
      <c r="H5" s="22">
        <v>14625</v>
      </c>
      <c r="I5" s="22">
        <v>1462.5</v>
      </c>
      <c r="J5" s="22">
        <v>13162.5</v>
      </c>
    </row>
    <row r="6" spans="1:10">
      <c r="A6" s="16" t="s">
        <v>208</v>
      </c>
      <c r="B6" s="16" t="s">
        <v>142</v>
      </c>
      <c r="C6" s="45" t="s">
        <v>166</v>
      </c>
      <c r="D6" s="16" t="s">
        <v>255</v>
      </c>
      <c r="E6" s="22">
        <v>5689</v>
      </c>
      <c r="F6" s="22">
        <v>2844.5</v>
      </c>
      <c r="G6" s="22">
        <v>4266.75</v>
      </c>
      <c r="H6" s="22">
        <v>12800.25</v>
      </c>
      <c r="I6" s="22">
        <v>1280.0250000000001</v>
      </c>
      <c r="J6" s="22">
        <v>11520.225</v>
      </c>
    </row>
    <row r="7" spans="1:10">
      <c r="A7" s="16" t="s">
        <v>209</v>
      </c>
      <c r="B7" s="16" t="s">
        <v>144</v>
      </c>
      <c r="C7" s="45" t="s">
        <v>152</v>
      </c>
      <c r="D7" s="16" t="s">
        <v>257</v>
      </c>
      <c r="E7" s="22">
        <v>5798</v>
      </c>
      <c r="F7" s="22">
        <v>2899</v>
      </c>
      <c r="G7" s="22">
        <v>4348.5</v>
      </c>
      <c r="H7" s="22">
        <v>13045.5</v>
      </c>
      <c r="I7" s="22">
        <v>1304.5500000000002</v>
      </c>
      <c r="J7" s="22">
        <v>11740.95</v>
      </c>
    </row>
    <row r="8" spans="1:10">
      <c r="A8" s="16" t="s">
        <v>246</v>
      </c>
      <c r="B8" s="16" t="s">
        <v>142</v>
      </c>
      <c r="C8" s="45" t="s">
        <v>154</v>
      </c>
      <c r="D8" s="16" t="s">
        <v>256</v>
      </c>
      <c r="E8" s="22">
        <v>6789</v>
      </c>
      <c r="F8" s="22">
        <v>3394.5</v>
      </c>
      <c r="G8" s="22">
        <v>5091.75</v>
      </c>
      <c r="H8" s="22">
        <v>15275.25</v>
      </c>
      <c r="I8" s="22">
        <v>1527.5250000000001</v>
      </c>
      <c r="J8" s="22">
        <v>13747.725</v>
      </c>
    </row>
    <row r="9" spans="1:10">
      <c r="A9" s="16" t="s">
        <v>247</v>
      </c>
      <c r="B9" s="16" t="s">
        <v>141</v>
      </c>
      <c r="C9" s="45" t="s">
        <v>152</v>
      </c>
      <c r="D9" s="16" t="s">
        <v>202</v>
      </c>
      <c r="E9" s="22">
        <v>13980</v>
      </c>
      <c r="F9" s="22">
        <v>6990</v>
      </c>
      <c r="G9" s="22">
        <v>10485</v>
      </c>
      <c r="H9" s="22">
        <v>31455</v>
      </c>
      <c r="I9" s="22">
        <v>3145.5</v>
      </c>
      <c r="J9" s="22">
        <v>28309.5</v>
      </c>
    </row>
    <row r="10" spans="1:10">
      <c r="A10" s="16" t="s">
        <v>248</v>
      </c>
      <c r="B10" s="16" t="s">
        <v>143</v>
      </c>
      <c r="C10" s="45" t="s">
        <v>166</v>
      </c>
      <c r="D10" s="16" t="s">
        <v>258</v>
      </c>
      <c r="E10" s="22">
        <v>5467</v>
      </c>
      <c r="F10" s="22">
        <v>2733.5</v>
      </c>
      <c r="G10" s="22">
        <v>4100.25</v>
      </c>
      <c r="H10" s="22">
        <v>12300.75</v>
      </c>
      <c r="I10" s="22">
        <v>1230.075</v>
      </c>
      <c r="J10" s="22">
        <v>11070.674999999999</v>
      </c>
    </row>
    <row r="11" spans="1:10">
      <c r="A11" s="16" t="s">
        <v>249</v>
      </c>
      <c r="B11" s="16" t="s">
        <v>142</v>
      </c>
      <c r="C11" s="45" t="s">
        <v>201</v>
      </c>
      <c r="D11" s="16" t="s">
        <v>255</v>
      </c>
      <c r="E11" s="22">
        <v>8978</v>
      </c>
      <c r="F11" s="22">
        <v>4489</v>
      </c>
      <c r="G11" s="22">
        <v>6733.5</v>
      </c>
      <c r="H11" s="22">
        <v>20200.5</v>
      </c>
      <c r="I11" s="22">
        <v>2020.0500000000002</v>
      </c>
      <c r="J11" s="22">
        <v>18180.45</v>
      </c>
    </row>
    <row r="12" spans="1:10">
      <c r="A12" s="16" t="s">
        <v>250</v>
      </c>
      <c r="B12" s="16" t="s">
        <v>144</v>
      </c>
      <c r="C12" s="45" t="s">
        <v>152</v>
      </c>
      <c r="D12" s="16" t="s">
        <v>207</v>
      </c>
      <c r="E12" s="22">
        <v>7890</v>
      </c>
      <c r="F12" s="22">
        <v>3945</v>
      </c>
      <c r="G12" s="22">
        <v>5917.5</v>
      </c>
      <c r="H12" s="22">
        <v>17752.5</v>
      </c>
      <c r="I12" s="22">
        <v>1775.25</v>
      </c>
      <c r="J12" s="22">
        <v>15977.25</v>
      </c>
    </row>
    <row r="13" spans="1:10">
      <c r="A13" s="16" t="s">
        <v>251</v>
      </c>
      <c r="B13" s="16" t="s">
        <v>142</v>
      </c>
      <c r="C13" s="45" t="s">
        <v>245</v>
      </c>
      <c r="D13" s="16" t="s">
        <v>204</v>
      </c>
      <c r="E13" s="22">
        <v>9900</v>
      </c>
      <c r="F13" s="22">
        <v>4950</v>
      </c>
      <c r="G13" s="22">
        <v>7425</v>
      </c>
      <c r="H13" s="22">
        <v>22275</v>
      </c>
      <c r="I13" s="22">
        <v>2227.5</v>
      </c>
      <c r="J13" s="22">
        <v>20047.5</v>
      </c>
    </row>
    <row r="14" spans="1:10">
      <c r="A14" s="16" t="s">
        <v>252</v>
      </c>
      <c r="B14" s="16" t="s">
        <v>141</v>
      </c>
      <c r="C14" s="45" t="s">
        <v>152</v>
      </c>
      <c r="D14" s="16" t="s">
        <v>202</v>
      </c>
      <c r="E14" s="22">
        <v>17980</v>
      </c>
      <c r="F14" s="22">
        <v>8990</v>
      </c>
      <c r="G14" s="22">
        <v>13485</v>
      </c>
      <c r="H14" s="22">
        <v>40455</v>
      </c>
      <c r="I14" s="22">
        <v>4045.5</v>
      </c>
      <c r="J14" s="22">
        <v>36409.5</v>
      </c>
    </row>
    <row r="15" spans="1:10">
      <c r="A15" s="16" t="s">
        <v>253</v>
      </c>
      <c r="B15" s="16" t="s">
        <v>143</v>
      </c>
      <c r="C15" s="45" t="s">
        <v>153</v>
      </c>
      <c r="D15" s="16" t="s">
        <v>207</v>
      </c>
      <c r="E15" s="22">
        <v>7897</v>
      </c>
      <c r="F15" s="22">
        <v>3948.5</v>
      </c>
      <c r="G15" s="22">
        <v>5922.75</v>
      </c>
      <c r="H15" s="22">
        <v>17768.25</v>
      </c>
      <c r="I15" s="22">
        <v>1776.825</v>
      </c>
      <c r="J15" s="22">
        <v>15991.424999999999</v>
      </c>
    </row>
    <row r="16" spans="1:10">
      <c r="A16" s="16" t="s">
        <v>254</v>
      </c>
      <c r="B16" s="16" t="s">
        <v>142</v>
      </c>
      <c r="C16" s="45" t="s">
        <v>201</v>
      </c>
      <c r="D16" s="16" t="s">
        <v>256</v>
      </c>
      <c r="E16" s="22">
        <v>12034</v>
      </c>
      <c r="F16" s="22">
        <v>6017</v>
      </c>
      <c r="G16" s="22">
        <v>9025.5</v>
      </c>
      <c r="H16" s="22">
        <v>27076.5</v>
      </c>
      <c r="I16" s="22">
        <v>2707.65</v>
      </c>
      <c r="J16" s="22">
        <v>24368.85</v>
      </c>
    </row>
  </sheetData>
  <conditionalFormatting sqref="C2:C16">
    <cfRule type="expression" dxfId="0" priority="1">
      <formula>$C2:C16=Sales</formula>
    </cfRule>
  </conditionalFormatting>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960B6-5706-4617-80CD-3EA443468A8F}">
  <sheetPr>
    <tabColor rgb="FFFFC000"/>
  </sheetPr>
  <dimension ref="B1:O1010"/>
  <sheetViews>
    <sheetView showOutlineSymbols="0" showWhiteSpace="0" workbookViewId="0"/>
  </sheetViews>
  <sheetFormatPr defaultColWidth="8.77734375" defaultRowHeight="14.4"/>
  <cols>
    <col min="1" max="1" width="2.21875" style="65" customWidth="1"/>
    <col min="2" max="2" width="14.6640625" style="65" customWidth="1"/>
    <col min="3" max="5" width="15.77734375" style="65" customWidth="1"/>
    <col min="6" max="6" width="10.21875" style="65" bestFit="1" customWidth="1"/>
    <col min="7" max="7" width="12.6640625" style="65" customWidth="1"/>
    <col min="8" max="8" width="20.33203125" style="65" bestFit="1" customWidth="1"/>
    <col min="9" max="9" width="18.88671875" style="65" customWidth="1"/>
    <col min="10" max="10" width="13.5546875" style="65" bestFit="1" customWidth="1"/>
    <col min="11" max="11" width="18.5546875" style="65" customWidth="1"/>
    <col min="12" max="12" width="9.77734375" style="65" bestFit="1" customWidth="1"/>
    <col min="13" max="13" width="12.21875" style="65" bestFit="1" customWidth="1"/>
    <col min="14" max="14" width="14.77734375" style="65" bestFit="1" customWidth="1"/>
    <col min="15" max="15" width="17" style="65" bestFit="1" customWidth="1"/>
    <col min="16" max="16384" width="8.77734375" style="65"/>
  </cols>
  <sheetData>
    <row r="1" spans="2:15" ht="8.85" customHeight="1"/>
    <row r="2" spans="2:15" ht="26.25" customHeight="1">
      <c r="B2" s="327" t="s">
        <v>756</v>
      </c>
      <c r="C2" s="328"/>
      <c r="D2" s="328"/>
      <c r="E2" s="328"/>
      <c r="F2" s="328"/>
      <c r="G2" s="328"/>
      <c r="H2" s="328"/>
      <c r="I2" s="328"/>
      <c r="J2" s="328"/>
      <c r="K2" s="328"/>
      <c r="L2" s="328"/>
      <c r="M2" s="328"/>
      <c r="N2" s="328"/>
      <c r="O2" s="329"/>
    </row>
    <row r="3" spans="2:15">
      <c r="B3" s="330" t="s">
        <v>757</v>
      </c>
      <c r="C3" s="331"/>
      <c r="D3" s="331"/>
      <c r="E3" s="332"/>
      <c r="G3" s="330" t="s">
        <v>758</v>
      </c>
      <c r="H3" s="331"/>
      <c r="I3" s="331"/>
      <c r="J3" s="331"/>
      <c r="K3" s="331"/>
      <c r="L3" s="331"/>
      <c r="M3" s="331"/>
      <c r="N3" s="331"/>
      <c r="O3" s="332"/>
    </row>
    <row r="4" spans="2:15">
      <c r="B4" s="92"/>
      <c r="C4" s="131" t="s">
        <v>759</v>
      </c>
      <c r="D4" s="131" t="s">
        <v>760</v>
      </c>
      <c r="E4" s="131" t="s">
        <v>761</v>
      </c>
      <c r="G4" s="106"/>
      <c r="H4" s="118" t="s">
        <v>759</v>
      </c>
      <c r="I4" s="118" t="s">
        <v>760</v>
      </c>
      <c r="J4" s="118" t="s">
        <v>761</v>
      </c>
      <c r="K4" s="118" t="s">
        <v>762</v>
      </c>
      <c r="L4" s="118" t="s">
        <v>763</v>
      </c>
      <c r="M4" s="118" t="s">
        <v>764</v>
      </c>
      <c r="N4" s="118" t="s">
        <v>765</v>
      </c>
      <c r="O4" s="118" t="s">
        <v>766</v>
      </c>
    </row>
    <row r="5" spans="2:15">
      <c r="B5" s="131">
        <v>2017</v>
      </c>
      <c r="C5" s="107">
        <v>2000</v>
      </c>
      <c r="D5" s="107">
        <v>600</v>
      </c>
      <c r="E5" s="107">
        <v>75</v>
      </c>
      <c r="G5" s="132">
        <v>2017</v>
      </c>
      <c r="H5" s="108">
        <v>1400</v>
      </c>
      <c r="I5" s="108">
        <v>1200</v>
      </c>
      <c r="J5" s="108">
        <v>300</v>
      </c>
      <c r="K5" s="108">
        <v>1800</v>
      </c>
      <c r="L5" s="108">
        <v>1200</v>
      </c>
      <c r="M5" s="108">
        <v>900</v>
      </c>
      <c r="N5" s="108">
        <v>400</v>
      </c>
      <c r="O5" s="108">
        <v>32</v>
      </c>
    </row>
    <row r="6" spans="2:15">
      <c r="B6" s="131">
        <v>2018</v>
      </c>
      <c r="C6" s="107">
        <v>3300</v>
      </c>
      <c r="D6" s="107">
        <v>760</v>
      </c>
      <c r="E6" s="107">
        <v>85</v>
      </c>
      <c r="G6" s="132">
        <v>2018</v>
      </c>
      <c r="H6" s="108">
        <v>2200</v>
      </c>
      <c r="I6" s="108">
        <v>1100</v>
      </c>
      <c r="J6" s="108">
        <v>590</v>
      </c>
      <c r="K6" s="108">
        <v>1700</v>
      </c>
      <c r="L6" s="108">
        <v>500</v>
      </c>
      <c r="M6" s="108">
        <v>800</v>
      </c>
      <c r="N6" s="108">
        <v>300</v>
      </c>
      <c r="O6" s="108">
        <v>25</v>
      </c>
    </row>
    <row r="7" spans="2:15">
      <c r="B7" s="131">
        <v>2019</v>
      </c>
      <c r="C7" s="107">
        <v>4100</v>
      </c>
      <c r="D7" s="107">
        <v>500</v>
      </c>
      <c r="E7" s="107">
        <v>225</v>
      </c>
      <c r="G7" s="132">
        <v>2019</v>
      </c>
      <c r="H7" s="108">
        <v>2100</v>
      </c>
      <c r="I7" s="108">
        <v>500</v>
      </c>
      <c r="J7" s="108">
        <v>125</v>
      </c>
      <c r="K7" s="108">
        <v>1900</v>
      </c>
      <c r="L7" s="108">
        <v>900</v>
      </c>
      <c r="M7" s="108">
        <v>800</v>
      </c>
      <c r="N7" s="108">
        <v>200</v>
      </c>
      <c r="O7" s="108">
        <v>75</v>
      </c>
    </row>
    <row r="8" spans="2:15">
      <c r="B8" s="131">
        <v>2020</v>
      </c>
      <c r="C8" s="107">
        <v>3000</v>
      </c>
      <c r="D8" s="107">
        <v>750</v>
      </c>
      <c r="E8" s="107">
        <v>123</v>
      </c>
      <c r="G8" s="132">
        <v>2020</v>
      </c>
      <c r="H8" s="108">
        <v>3000</v>
      </c>
      <c r="I8" s="108">
        <v>750</v>
      </c>
      <c r="J8" s="108">
        <v>123</v>
      </c>
      <c r="K8" s="108">
        <v>2200</v>
      </c>
      <c r="L8" s="108">
        <v>1250</v>
      </c>
      <c r="M8" s="108">
        <v>900</v>
      </c>
      <c r="N8" s="108">
        <v>200</v>
      </c>
      <c r="O8" s="108">
        <v>80</v>
      </c>
    </row>
    <row r="27" spans="2:15" ht="15" thickBot="1"/>
    <row r="28" spans="2:15" ht="24" thickBot="1">
      <c r="B28" s="333" t="s">
        <v>767</v>
      </c>
      <c r="C28" s="334"/>
      <c r="D28" s="334"/>
      <c r="E28" s="334"/>
      <c r="F28" s="334"/>
      <c r="G28" s="334"/>
      <c r="H28" s="334"/>
      <c r="I28" s="334"/>
      <c r="J28" s="334"/>
      <c r="K28" s="334"/>
      <c r="L28" s="334"/>
      <c r="M28" s="334"/>
      <c r="N28" s="334"/>
      <c r="O28" s="335"/>
    </row>
    <row r="30" spans="2:15">
      <c r="F30" s="131" t="s">
        <v>140</v>
      </c>
      <c r="G30" s="131" t="s">
        <v>768</v>
      </c>
      <c r="H30" s="131" t="s">
        <v>769</v>
      </c>
      <c r="I30" s="131" t="s">
        <v>770</v>
      </c>
      <c r="J30" s="131" t="s">
        <v>771</v>
      </c>
      <c r="K30" s="131" t="s">
        <v>772</v>
      </c>
    </row>
    <row r="31" spans="2:15">
      <c r="F31" s="132" t="s">
        <v>773</v>
      </c>
      <c r="G31" s="108">
        <v>20000</v>
      </c>
      <c r="H31" s="108">
        <v>22000</v>
      </c>
      <c r="I31" s="108">
        <v>19000</v>
      </c>
      <c r="J31" s="108">
        <v>23000</v>
      </c>
      <c r="K31" s="108">
        <v>24000</v>
      </c>
    </row>
    <row r="32" spans="2:15">
      <c r="F32" s="132" t="s">
        <v>774</v>
      </c>
      <c r="G32" s="108">
        <v>14500</v>
      </c>
      <c r="H32" s="108">
        <v>14600</v>
      </c>
      <c r="I32" s="108">
        <v>14500</v>
      </c>
      <c r="J32" s="108">
        <v>14450</v>
      </c>
      <c r="K32" s="108">
        <v>16000</v>
      </c>
    </row>
    <row r="33" spans="6:11">
      <c r="F33" s="132" t="s">
        <v>775</v>
      </c>
      <c r="G33" s="108">
        <v>26000</v>
      </c>
      <c r="H33" s="108">
        <v>17000</v>
      </c>
      <c r="I33" s="108">
        <v>18000</v>
      </c>
      <c r="J33" s="108">
        <v>28000</v>
      </c>
      <c r="K33" s="108">
        <v>30000</v>
      </c>
    </row>
    <row r="34" spans="6:11">
      <c r="F34" s="132" t="s">
        <v>776</v>
      </c>
      <c r="G34" s="108">
        <v>5000</v>
      </c>
      <c r="H34" s="108">
        <v>3000</v>
      </c>
      <c r="I34" s="108">
        <v>3500</v>
      </c>
      <c r="J34" s="108">
        <v>6000</v>
      </c>
      <c r="K34" s="108">
        <v>2000</v>
      </c>
    </row>
    <row r="53" spans="2:13">
      <c r="B53" s="131" t="s">
        <v>577</v>
      </c>
      <c r="C53" s="131" t="s">
        <v>777</v>
      </c>
      <c r="D53" s="131" t="s">
        <v>778</v>
      </c>
      <c r="K53" s="131" t="s">
        <v>577</v>
      </c>
      <c r="L53" s="131" t="s">
        <v>777</v>
      </c>
      <c r="M53" s="131" t="s">
        <v>778</v>
      </c>
    </row>
    <row r="54" spans="2:13">
      <c r="B54" s="133">
        <v>42370</v>
      </c>
      <c r="C54" s="106">
        <v>0.19</v>
      </c>
      <c r="D54" s="106">
        <v>-0.05</v>
      </c>
      <c r="K54" s="106" t="s">
        <v>779</v>
      </c>
      <c r="L54" s="106">
        <v>0.09</v>
      </c>
      <c r="M54" s="106">
        <v>-0.01</v>
      </c>
    </row>
    <row r="55" spans="2:13">
      <c r="B55" s="133">
        <v>42371</v>
      </c>
      <c r="C55" s="106">
        <v>7.0000000000000007E-2</v>
      </c>
      <c r="D55" s="106">
        <v>0.2</v>
      </c>
      <c r="K55" s="106" t="s">
        <v>780</v>
      </c>
      <c r="L55" s="106">
        <v>0.06</v>
      </c>
      <c r="M55" s="106">
        <v>0.09</v>
      </c>
    </row>
    <row r="56" spans="2:13">
      <c r="B56" s="133">
        <v>42372</v>
      </c>
      <c r="C56" s="106">
        <v>7.0000000000000007E-2</v>
      </c>
      <c r="D56" s="106">
        <v>0.03</v>
      </c>
      <c r="K56" s="106" t="s">
        <v>781</v>
      </c>
      <c r="L56" s="106">
        <v>0.03</v>
      </c>
      <c r="M56" s="106">
        <v>-0.01</v>
      </c>
    </row>
    <row r="57" spans="2:13">
      <c r="B57" s="133">
        <v>42373</v>
      </c>
      <c r="C57" s="106">
        <v>-0.11</v>
      </c>
      <c r="D57" s="106">
        <v>-0.01</v>
      </c>
      <c r="K57" s="106" t="s">
        <v>782</v>
      </c>
      <c r="L57" s="106">
        <v>-0.01</v>
      </c>
      <c r="M57" s="106">
        <v>0.1</v>
      </c>
    </row>
    <row r="58" spans="2:13">
      <c r="B58" s="133">
        <v>42374</v>
      </c>
      <c r="C58" s="106">
        <v>0.09</v>
      </c>
      <c r="D58" s="106">
        <v>0.19</v>
      </c>
      <c r="K58" s="106" t="s">
        <v>783</v>
      </c>
      <c r="L58" s="106">
        <v>0.05</v>
      </c>
      <c r="M58" s="106">
        <v>0.1</v>
      </c>
    </row>
    <row r="59" spans="2:13">
      <c r="B59" s="133">
        <v>42375</v>
      </c>
      <c r="C59" s="106">
        <v>0.02</v>
      </c>
      <c r="D59" s="106">
        <v>0.03</v>
      </c>
      <c r="K59" s="106" t="s">
        <v>784</v>
      </c>
      <c r="L59" s="106">
        <v>0.11</v>
      </c>
      <c r="M59" s="106">
        <v>0.09</v>
      </c>
    </row>
    <row r="60" spans="2:13">
      <c r="B60" s="133">
        <v>42376</v>
      </c>
      <c r="C60" s="106">
        <v>-0.14000000000000001</v>
      </c>
      <c r="D60" s="106">
        <v>0.15</v>
      </c>
      <c r="K60" s="106" t="s">
        <v>785</v>
      </c>
      <c r="L60" s="106">
        <v>-0.01</v>
      </c>
      <c r="M60" s="106">
        <v>-0.01</v>
      </c>
    </row>
    <row r="61" spans="2:13">
      <c r="B61" s="133">
        <v>42377</v>
      </c>
      <c r="C61" s="106">
        <v>0.03</v>
      </c>
      <c r="D61" s="106">
        <v>0.09</v>
      </c>
      <c r="K61" s="106" t="s">
        <v>786</v>
      </c>
      <c r="L61" s="106">
        <v>0.09</v>
      </c>
      <c r="M61" s="106">
        <v>-0.02</v>
      </c>
    </row>
    <row r="62" spans="2:13">
      <c r="B62" s="133">
        <v>42378</v>
      </c>
      <c r="C62" s="106">
        <v>-0.06</v>
      </c>
      <c r="D62" s="106">
        <v>0.05</v>
      </c>
      <c r="K62" s="106" t="s">
        <v>787</v>
      </c>
      <c r="L62" s="106">
        <v>-0.01</v>
      </c>
      <c r="M62" s="106">
        <v>0.09</v>
      </c>
    </row>
    <row r="63" spans="2:13">
      <c r="B63" s="133">
        <v>42379</v>
      </c>
      <c r="C63" s="106">
        <v>-0.01</v>
      </c>
      <c r="D63" s="106">
        <v>0.15</v>
      </c>
      <c r="K63" s="106" t="s">
        <v>788</v>
      </c>
      <c r="L63" s="106">
        <v>0.04</v>
      </c>
      <c r="M63" s="106">
        <v>0.04</v>
      </c>
    </row>
    <row r="64" spans="2:13">
      <c r="B64" s="133">
        <v>42380</v>
      </c>
      <c r="C64" s="106">
        <v>0.06</v>
      </c>
      <c r="D64" s="106">
        <v>0.09</v>
      </c>
      <c r="K64" s="106" t="s">
        <v>789</v>
      </c>
      <c r="L64" s="106">
        <v>0.12</v>
      </c>
      <c r="M64" s="106">
        <v>0.1</v>
      </c>
    </row>
    <row r="65" spans="2:13">
      <c r="B65" s="133">
        <v>42381</v>
      </c>
      <c r="C65" s="106">
        <v>0.04</v>
      </c>
      <c r="D65" s="106">
        <v>0.17</v>
      </c>
      <c r="K65" s="106" t="s">
        <v>790</v>
      </c>
      <c r="L65" s="106">
        <v>0.01</v>
      </c>
      <c r="M65" s="106">
        <v>0</v>
      </c>
    </row>
    <row r="66" spans="2:13">
      <c r="B66" s="133">
        <v>42382</v>
      </c>
      <c r="C66" s="106">
        <v>-0.08</v>
      </c>
      <c r="D66" s="106">
        <v>0</v>
      </c>
      <c r="K66" s="106" t="s">
        <v>791</v>
      </c>
      <c r="L66" s="106">
        <v>0.1</v>
      </c>
      <c r="M66" s="106">
        <v>0.06</v>
      </c>
    </row>
    <row r="67" spans="2:13">
      <c r="B67" s="133">
        <v>42383</v>
      </c>
      <c r="C67" s="106">
        <v>0.11</v>
      </c>
      <c r="D67" s="106">
        <v>-0.02</v>
      </c>
      <c r="K67" s="106" t="s">
        <v>792</v>
      </c>
      <c r="L67" s="106">
        <v>0.01</v>
      </c>
      <c r="M67" s="106">
        <v>0.05</v>
      </c>
    </row>
    <row r="68" spans="2:13">
      <c r="B68" s="133">
        <v>42384</v>
      </c>
      <c r="C68" s="106">
        <v>-0.15</v>
      </c>
      <c r="D68" s="106">
        <v>0.02</v>
      </c>
      <c r="K68" s="106" t="s">
        <v>793</v>
      </c>
      <c r="L68" s="106">
        <v>0.01</v>
      </c>
      <c r="M68" s="106">
        <v>0.1</v>
      </c>
    </row>
    <row r="69" spans="2:13">
      <c r="B69" s="133">
        <v>42385</v>
      </c>
      <c r="C69" s="106">
        <v>-0.02</v>
      </c>
      <c r="D69" s="106">
        <v>0.02</v>
      </c>
      <c r="K69" s="106" t="s">
        <v>794</v>
      </c>
      <c r="L69" s="106">
        <v>7.0000000000000007E-2</v>
      </c>
      <c r="M69" s="106">
        <v>0.12</v>
      </c>
    </row>
    <row r="70" spans="2:13">
      <c r="B70" s="133">
        <v>42386</v>
      </c>
      <c r="C70" s="106">
        <v>-7.0000000000000007E-2</v>
      </c>
      <c r="D70" s="106">
        <v>0.1</v>
      </c>
      <c r="K70" s="106" t="s">
        <v>795</v>
      </c>
      <c r="L70" s="106">
        <v>-0.01</v>
      </c>
      <c r="M70" s="106">
        <v>0.04</v>
      </c>
    </row>
    <row r="71" spans="2:13">
      <c r="B71" s="133">
        <v>42387</v>
      </c>
      <c r="C71" s="106">
        <v>0.14000000000000001</v>
      </c>
      <c r="D71" s="106">
        <v>0.03</v>
      </c>
      <c r="K71" s="106" t="s">
        <v>796</v>
      </c>
      <c r="L71" s="106">
        <v>0.09</v>
      </c>
      <c r="M71" s="106">
        <v>-0.01</v>
      </c>
    </row>
    <row r="72" spans="2:13">
      <c r="B72" s="133">
        <v>42388</v>
      </c>
      <c r="C72" s="106">
        <v>0.19</v>
      </c>
      <c r="D72" s="106">
        <v>0.09</v>
      </c>
      <c r="K72" s="106" t="s">
        <v>797</v>
      </c>
      <c r="L72" s="106">
        <v>0</v>
      </c>
      <c r="M72" s="106">
        <v>0.12</v>
      </c>
    </row>
    <row r="73" spans="2:13">
      <c r="B73" s="133">
        <v>42389</v>
      </c>
      <c r="C73" s="106">
        <v>-0.06</v>
      </c>
      <c r="D73" s="106">
        <v>-0.04</v>
      </c>
      <c r="K73" s="106" t="s">
        <v>798</v>
      </c>
      <c r="L73" s="106">
        <v>0.11</v>
      </c>
      <c r="M73" s="106">
        <v>7.0000000000000007E-2</v>
      </c>
    </row>
    <row r="74" spans="2:13">
      <c r="B74" s="133">
        <v>42390</v>
      </c>
      <c r="C74" s="106">
        <v>-0.03</v>
      </c>
      <c r="D74" s="106">
        <v>0.11</v>
      </c>
      <c r="K74" s="106" t="s">
        <v>799</v>
      </c>
      <c r="L74" s="106">
        <v>7.0000000000000007E-2</v>
      </c>
      <c r="M74" s="106">
        <v>0.06</v>
      </c>
    </row>
    <row r="75" spans="2:13">
      <c r="B75" s="133">
        <v>42391</v>
      </c>
      <c r="C75" s="106">
        <v>-0.05</v>
      </c>
      <c r="D75" s="106">
        <v>-0.13</v>
      </c>
      <c r="K75" s="106" t="s">
        <v>800</v>
      </c>
      <c r="L75" s="106">
        <v>0.04</v>
      </c>
      <c r="M75" s="106">
        <v>0.11</v>
      </c>
    </row>
    <row r="76" spans="2:13">
      <c r="B76" s="133">
        <v>42392</v>
      </c>
      <c r="C76" s="106">
        <v>0.1</v>
      </c>
      <c r="D76" s="106">
        <v>-7.0000000000000007E-2</v>
      </c>
      <c r="K76" s="106" t="s">
        <v>801</v>
      </c>
      <c r="L76" s="106">
        <v>-0.01</v>
      </c>
      <c r="M76" s="106">
        <v>7.0000000000000007E-2</v>
      </c>
    </row>
    <row r="77" spans="2:13">
      <c r="B77" s="133">
        <v>42393</v>
      </c>
      <c r="C77" s="106">
        <v>-7.0000000000000007E-2</v>
      </c>
      <c r="D77" s="106">
        <v>0.15</v>
      </c>
      <c r="K77" s="106" t="s">
        <v>802</v>
      </c>
      <c r="L77" s="106">
        <v>0.11</v>
      </c>
      <c r="M77" s="106">
        <v>0.04</v>
      </c>
    </row>
    <row r="78" spans="2:13">
      <c r="B78" s="133">
        <v>42394</v>
      </c>
      <c r="C78" s="106">
        <v>0.11</v>
      </c>
      <c r="D78" s="106">
        <v>0.05</v>
      </c>
    </row>
    <row r="79" spans="2:13">
      <c r="B79" s="133">
        <v>42395</v>
      </c>
      <c r="C79" s="106">
        <v>-0.1</v>
      </c>
      <c r="D79" s="106">
        <v>-0.14000000000000001</v>
      </c>
    </row>
    <row r="80" spans="2:13">
      <c r="B80" s="133">
        <v>42396</v>
      </c>
      <c r="C80" s="106">
        <v>-0.04</v>
      </c>
      <c r="D80" s="106">
        <v>0.01</v>
      </c>
    </row>
    <row r="81" spans="2:4">
      <c r="B81" s="133">
        <v>42397</v>
      </c>
      <c r="C81" s="106">
        <v>0.06</v>
      </c>
      <c r="D81" s="106">
        <v>0.2</v>
      </c>
    </row>
    <row r="82" spans="2:4">
      <c r="B82" s="133">
        <v>42398</v>
      </c>
      <c r="C82" s="106">
        <v>0</v>
      </c>
      <c r="D82" s="106">
        <v>0.1</v>
      </c>
    </row>
    <row r="83" spans="2:4">
      <c r="B83" s="133">
        <v>42399</v>
      </c>
      <c r="C83" s="106">
        <v>-0.12</v>
      </c>
      <c r="D83" s="106">
        <v>-0.09</v>
      </c>
    </row>
    <row r="84" spans="2:4">
      <c r="B84" s="133">
        <v>42400</v>
      </c>
      <c r="C84" s="106">
        <v>0.01</v>
      </c>
      <c r="D84" s="106">
        <v>-0.11</v>
      </c>
    </row>
    <row r="85" spans="2:4">
      <c r="B85" s="133">
        <v>42401</v>
      </c>
      <c r="C85" s="106">
        <v>-0.03</v>
      </c>
      <c r="D85" s="106">
        <v>0.15</v>
      </c>
    </row>
    <row r="86" spans="2:4">
      <c r="B86" s="133">
        <v>42402</v>
      </c>
      <c r="C86" s="106">
        <v>0.2</v>
      </c>
      <c r="D86" s="106">
        <v>0.11</v>
      </c>
    </row>
    <row r="87" spans="2:4">
      <c r="B87" s="133">
        <v>42403</v>
      </c>
      <c r="C87" s="106">
        <v>-0.05</v>
      </c>
      <c r="D87" s="106">
        <v>-0.01</v>
      </c>
    </row>
    <row r="88" spans="2:4">
      <c r="B88" s="133">
        <v>42404</v>
      </c>
      <c r="C88" s="106">
        <v>0.04</v>
      </c>
      <c r="D88" s="106">
        <v>0.13</v>
      </c>
    </row>
    <row r="89" spans="2:4">
      <c r="B89" s="133">
        <v>42405</v>
      </c>
      <c r="C89" s="106">
        <v>-0.09</v>
      </c>
      <c r="D89" s="106">
        <v>-0.11</v>
      </c>
    </row>
    <row r="90" spans="2:4">
      <c r="B90" s="133">
        <v>42406</v>
      </c>
      <c r="C90" s="106">
        <v>0.08</v>
      </c>
      <c r="D90" s="106">
        <v>-0.01</v>
      </c>
    </row>
    <row r="91" spans="2:4">
      <c r="B91" s="133">
        <v>42407</v>
      </c>
      <c r="C91" s="106">
        <v>-0.04</v>
      </c>
      <c r="D91" s="106">
        <v>0.09</v>
      </c>
    </row>
    <row r="92" spans="2:4">
      <c r="B92" s="133">
        <v>42408</v>
      </c>
      <c r="C92" s="106">
        <v>0.06</v>
      </c>
      <c r="D92" s="106">
        <v>0.2</v>
      </c>
    </row>
    <row r="93" spans="2:4">
      <c r="B93" s="133">
        <v>42409</v>
      </c>
      <c r="C93" s="106">
        <v>0.01</v>
      </c>
      <c r="D93" s="106">
        <v>0.12</v>
      </c>
    </row>
    <row r="94" spans="2:4">
      <c r="B94" s="133">
        <v>42410</v>
      </c>
      <c r="C94" s="106">
        <v>0.09</v>
      </c>
      <c r="D94" s="106">
        <v>0.08</v>
      </c>
    </row>
    <row r="95" spans="2:4">
      <c r="B95" s="133">
        <v>42411</v>
      </c>
      <c r="C95" s="106">
        <v>-0.15</v>
      </c>
      <c r="D95" s="106">
        <v>0.01</v>
      </c>
    </row>
    <row r="96" spans="2:4">
      <c r="B96" s="133">
        <v>42412</v>
      </c>
      <c r="C96" s="106">
        <v>-0.04</v>
      </c>
      <c r="D96" s="106">
        <v>-0.11</v>
      </c>
    </row>
    <row r="97" spans="2:4">
      <c r="B97" s="133">
        <v>42413</v>
      </c>
      <c r="C97" s="106">
        <v>0.2</v>
      </c>
      <c r="D97" s="106">
        <v>0.13</v>
      </c>
    </row>
    <row r="98" spans="2:4">
      <c r="B98" s="133">
        <v>42414</v>
      </c>
      <c r="C98" s="106">
        <v>0.17</v>
      </c>
      <c r="D98" s="106">
        <v>0.16</v>
      </c>
    </row>
    <row r="99" spans="2:4">
      <c r="B99" s="133">
        <v>42415</v>
      </c>
      <c r="C99" s="106">
        <v>-0.03</v>
      </c>
      <c r="D99" s="106">
        <v>0.15</v>
      </c>
    </row>
    <row r="100" spans="2:4">
      <c r="B100" s="133">
        <v>42416</v>
      </c>
      <c r="C100" s="106">
        <v>-0.12</v>
      </c>
      <c r="D100" s="106">
        <v>-0.05</v>
      </c>
    </row>
    <row r="101" spans="2:4">
      <c r="B101" s="133">
        <v>42417</v>
      </c>
      <c r="C101" s="106">
        <v>-0.13</v>
      </c>
      <c r="D101" s="106">
        <v>0.04</v>
      </c>
    </row>
    <row r="102" spans="2:4">
      <c r="B102" s="133">
        <v>42418</v>
      </c>
      <c r="C102" s="106">
        <v>0.09</v>
      </c>
      <c r="D102" s="106">
        <v>0.01</v>
      </c>
    </row>
    <row r="103" spans="2:4">
      <c r="B103" s="133">
        <v>42419</v>
      </c>
      <c r="C103" s="106">
        <v>-0.06</v>
      </c>
      <c r="D103" s="106">
        <v>0.19</v>
      </c>
    </row>
    <row r="104" spans="2:4">
      <c r="B104" s="133">
        <v>42420</v>
      </c>
      <c r="C104" s="106">
        <v>-7.0000000000000007E-2</v>
      </c>
      <c r="D104" s="106">
        <v>0.13</v>
      </c>
    </row>
    <row r="105" spans="2:4">
      <c r="B105" s="133">
        <v>42421</v>
      </c>
      <c r="C105" s="106">
        <v>0.15</v>
      </c>
      <c r="D105" s="106">
        <v>-0.02</v>
      </c>
    </row>
    <row r="106" spans="2:4">
      <c r="B106" s="133">
        <v>42422</v>
      </c>
      <c r="C106" s="106">
        <v>-0.09</v>
      </c>
      <c r="D106" s="106">
        <v>-0.05</v>
      </c>
    </row>
    <row r="107" spans="2:4">
      <c r="B107" s="133">
        <v>42423</v>
      </c>
      <c r="C107" s="106">
        <v>-0.03</v>
      </c>
      <c r="D107" s="106">
        <v>0.05</v>
      </c>
    </row>
    <row r="108" spans="2:4">
      <c r="B108" s="133">
        <v>42424</v>
      </c>
      <c r="C108" s="106">
        <v>-0.04</v>
      </c>
      <c r="D108" s="106">
        <v>0.03</v>
      </c>
    </row>
    <row r="109" spans="2:4">
      <c r="B109" s="133">
        <v>42425</v>
      </c>
      <c r="C109" s="106">
        <v>0.11</v>
      </c>
      <c r="D109" s="106">
        <v>0.13</v>
      </c>
    </row>
    <row r="110" spans="2:4">
      <c r="B110" s="133">
        <v>42426</v>
      </c>
      <c r="C110" s="106">
        <v>0.14000000000000001</v>
      </c>
      <c r="D110" s="106">
        <v>0.04</v>
      </c>
    </row>
    <row r="111" spans="2:4">
      <c r="B111" s="133">
        <v>42427</v>
      </c>
      <c r="C111" s="106">
        <v>-0.01</v>
      </c>
      <c r="D111" s="106">
        <v>-0.13</v>
      </c>
    </row>
    <row r="112" spans="2:4">
      <c r="B112" s="133">
        <v>42428</v>
      </c>
      <c r="C112" s="106">
        <v>0.19</v>
      </c>
      <c r="D112" s="106">
        <v>-0.15</v>
      </c>
    </row>
    <row r="113" spans="2:4">
      <c r="B113" s="133">
        <v>42429</v>
      </c>
      <c r="C113" s="106">
        <v>-0.12</v>
      </c>
      <c r="D113" s="106">
        <v>-0.12</v>
      </c>
    </row>
    <row r="114" spans="2:4">
      <c r="B114" s="133">
        <v>42430</v>
      </c>
      <c r="C114" s="106">
        <v>0.17</v>
      </c>
      <c r="D114" s="106">
        <v>0.13</v>
      </c>
    </row>
    <row r="115" spans="2:4">
      <c r="B115" s="133">
        <v>42431</v>
      </c>
      <c r="C115" s="106">
        <v>0.03</v>
      </c>
      <c r="D115" s="106">
        <v>7.0000000000000007E-2</v>
      </c>
    </row>
    <row r="116" spans="2:4">
      <c r="B116" s="133">
        <v>42432</v>
      </c>
      <c r="C116" s="106">
        <v>0.12</v>
      </c>
      <c r="D116" s="106">
        <v>-0.01</v>
      </c>
    </row>
    <row r="117" spans="2:4">
      <c r="B117" s="133">
        <v>42433</v>
      </c>
      <c r="C117" s="106">
        <v>-0.03</v>
      </c>
      <c r="D117" s="106">
        <v>-0.06</v>
      </c>
    </row>
    <row r="118" spans="2:4">
      <c r="B118" s="133">
        <v>42434</v>
      </c>
      <c r="C118" s="106">
        <v>-0.01</v>
      </c>
      <c r="D118" s="106">
        <v>-0.02</v>
      </c>
    </row>
    <row r="119" spans="2:4">
      <c r="B119" s="133">
        <v>42435</v>
      </c>
      <c r="C119" s="106">
        <v>0.1</v>
      </c>
      <c r="D119" s="106">
        <v>0.13</v>
      </c>
    </row>
    <row r="120" spans="2:4">
      <c r="B120" s="133">
        <v>42436</v>
      </c>
      <c r="C120" s="106">
        <v>0.11</v>
      </c>
      <c r="D120" s="106">
        <v>0.06</v>
      </c>
    </row>
    <row r="121" spans="2:4">
      <c r="B121" s="133">
        <v>42437</v>
      </c>
      <c r="C121" s="106">
        <v>-0.14000000000000001</v>
      </c>
      <c r="D121" s="106">
        <v>0.05</v>
      </c>
    </row>
    <row r="122" spans="2:4">
      <c r="B122" s="133">
        <v>42438</v>
      </c>
      <c r="C122" s="106">
        <v>0.01</v>
      </c>
      <c r="D122" s="106">
        <v>-0.14000000000000001</v>
      </c>
    </row>
    <row r="123" spans="2:4">
      <c r="B123" s="133">
        <v>42439</v>
      </c>
      <c r="C123" s="106">
        <v>0.09</v>
      </c>
      <c r="D123" s="106">
        <v>0.01</v>
      </c>
    </row>
    <row r="124" spans="2:4">
      <c r="B124" s="133">
        <v>42440</v>
      </c>
      <c r="C124" s="106">
        <v>0.02</v>
      </c>
      <c r="D124" s="106">
        <v>-0.1</v>
      </c>
    </row>
    <row r="125" spans="2:4">
      <c r="B125" s="133">
        <v>42441</v>
      </c>
      <c r="C125" s="106">
        <v>0.14000000000000001</v>
      </c>
      <c r="D125" s="106">
        <v>0.11</v>
      </c>
    </row>
    <row r="126" spans="2:4">
      <c r="B126" s="133">
        <v>42442</v>
      </c>
      <c r="C126" s="106">
        <v>-0.11</v>
      </c>
      <c r="D126" s="106">
        <v>0.02</v>
      </c>
    </row>
    <row r="127" spans="2:4">
      <c r="B127" s="133">
        <v>42443</v>
      </c>
      <c r="C127" s="106">
        <v>0.03</v>
      </c>
      <c r="D127" s="106">
        <v>-0.09</v>
      </c>
    </row>
    <row r="128" spans="2:4">
      <c r="B128" s="133">
        <v>42444</v>
      </c>
      <c r="C128" s="106">
        <v>-0.15</v>
      </c>
      <c r="D128" s="106">
        <v>0.19</v>
      </c>
    </row>
    <row r="129" spans="2:4">
      <c r="B129" s="133">
        <v>42445</v>
      </c>
      <c r="C129" s="106">
        <v>0</v>
      </c>
      <c r="D129" s="106">
        <v>0.15</v>
      </c>
    </row>
    <row r="130" spans="2:4">
      <c r="B130" s="133">
        <v>42446</v>
      </c>
      <c r="C130" s="106">
        <v>-0.15</v>
      </c>
      <c r="D130" s="106">
        <v>-7.0000000000000007E-2</v>
      </c>
    </row>
    <row r="131" spans="2:4">
      <c r="B131" s="133">
        <v>42447</v>
      </c>
      <c r="C131" s="106">
        <v>-7.0000000000000007E-2</v>
      </c>
      <c r="D131" s="106">
        <v>0.04</v>
      </c>
    </row>
    <row r="132" spans="2:4">
      <c r="B132" s="133">
        <v>42448</v>
      </c>
      <c r="C132" s="106">
        <v>0.06</v>
      </c>
      <c r="D132" s="106">
        <v>-0.1</v>
      </c>
    </row>
    <row r="133" spans="2:4">
      <c r="B133" s="133">
        <v>42449</v>
      </c>
      <c r="C133" s="106">
        <v>0.13</v>
      </c>
      <c r="D133" s="106">
        <v>-0.02</v>
      </c>
    </row>
    <row r="134" spans="2:4">
      <c r="B134" s="133">
        <v>42450</v>
      </c>
      <c r="C134" s="106">
        <v>0.02</v>
      </c>
      <c r="D134" s="106">
        <v>-0.1</v>
      </c>
    </row>
    <row r="135" spans="2:4">
      <c r="B135" s="133">
        <v>42451</v>
      </c>
      <c r="C135" s="106">
        <v>0.04</v>
      </c>
      <c r="D135" s="106">
        <v>7.0000000000000007E-2</v>
      </c>
    </row>
    <row r="136" spans="2:4">
      <c r="B136" s="133">
        <v>42452</v>
      </c>
      <c r="C136" s="106">
        <v>0.01</v>
      </c>
      <c r="D136" s="106">
        <v>0.17</v>
      </c>
    </row>
    <row r="137" spans="2:4">
      <c r="B137" s="133">
        <v>42453</v>
      </c>
      <c r="C137" s="106">
        <v>-0.13</v>
      </c>
      <c r="D137" s="106">
        <v>0.18</v>
      </c>
    </row>
    <row r="138" spans="2:4">
      <c r="B138" s="133">
        <v>42454</v>
      </c>
      <c r="C138" s="106">
        <v>0.17</v>
      </c>
      <c r="D138" s="106">
        <v>-0.12</v>
      </c>
    </row>
    <row r="139" spans="2:4">
      <c r="B139" s="133">
        <v>42455</v>
      </c>
      <c r="C139" s="106">
        <v>-0.03</v>
      </c>
      <c r="D139" s="106">
        <v>0.19</v>
      </c>
    </row>
    <row r="140" spans="2:4">
      <c r="B140" s="133">
        <v>42456</v>
      </c>
      <c r="C140" s="106">
        <v>-0.08</v>
      </c>
      <c r="D140" s="106">
        <v>-0.12</v>
      </c>
    </row>
    <row r="141" spans="2:4">
      <c r="B141" s="133">
        <v>42457</v>
      </c>
      <c r="C141" s="106">
        <v>0.06</v>
      </c>
      <c r="D141" s="106">
        <v>-0.15</v>
      </c>
    </row>
    <row r="142" spans="2:4">
      <c r="B142" s="133">
        <v>42458</v>
      </c>
      <c r="C142" s="106">
        <v>0.13</v>
      </c>
      <c r="D142" s="106">
        <v>0.1</v>
      </c>
    </row>
    <row r="143" spans="2:4">
      <c r="B143" s="133">
        <v>42459</v>
      </c>
      <c r="C143" s="106">
        <v>0.1</v>
      </c>
      <c r="D143" s="106">
        <v>0</v>
      </c>
    </row>
    <row r="144" spans="2:4">
      <c r="B144" s="133">
        <v>42460</v>
      </c>
      <c r="C144" s="106">
        <v>0</v>
      </c>
      <c r="D144" s="106">
        <v>0.2</v>
      </c>
    </row>
    <row r="145" spans="2:4">
      <c r="B145" s="133">
        <v>42461</v>
      </c>
      <c r="C145" s="106">
        <v>-0.02</v>
      </c>
      <c r="D145" s="106">
        <v>0</v>
      </c>
    </row>
    <row r="146" spans="2:4">
      <c r="B146" s="133">
        <v>42462</v>
      </c>
      <c r="C146" s="106">
        <v>0.1</v>
      </c>
      <c r="D146" s="106">
        <v>0.09</v>
      </c>
    </row>
    <row r="147" spans="2:4">
      <c r="B147" s="133">
        <v>42463</v>
      </c>
      <c r="C147" s="106">
        <v>-0.15</v>
      </c>
      <c r="D147" s="106">
        <v>-0.05</v>
      </c>
    </row>
    <row r="148" spans="2:4">
      <c r="B148" s="133">
        <v>42464</v>
      </c>
      <c r="C148" s="106">
        <v>-7.0000000000000007E-2</v>
      </c>
      <c r="D148" s="106">
        <v>0.14000000000000001</v>
      </c>
    </row>
    <row r="149" spans="2:4">
      <c r="B149" s="133">
        <v>42465</v>
      </c>
      <c r="C149" s="106">
        <v>0.15</v>
      </c>
      <c r="D149" s="106">
        <v>-0.11</v>
      </c>
    </row>
    <row r="150" spans="2:4">
      <c r="B150" s="133">
        <v>42466</v>
      </c>
      <c r="C150" s="106">
        <v>0.14000000000000001</v>
      </c>
      <c r="D150" s="106">
        <v>0.01</v>
      </c>
    </row>
    <row r="151" spans="2:4">
      <c r="B151" s="133">
        <v>42467</v>
      </c>
      <c r="C151" s="106">
        <v>0.02</v>
      </c>
      <c r="D151" s="106">
        <v>0.02</v>
      </c>
    </row>
    <row r="152" spans="2:4">
      <c r="B152" s="133">
        <v>42468</v>
      </c>
      <c r="C152" s="106">
        <v>-0.1</v>
      </c>
      <c r="D152" s="106">
        <v>-0.11</v>
      </c>
    </row>
    <row r="153" spans="2:4">
      <c r="B153" s="133">
        <v>42469</v>
      </c>
      <c r="C153" s="106">
        <v>-0.03</v>
      </c>
      <c r="D153" s="106">
        <v>-0.12</v>
      </c>
    </row>
    <row r="154" spans="2:4">
      <c r="B154" s="133">
        <v>42470</v>
      </c>
      <c r="C154" s="106">
        <v>0</v>
      </c>
      <c r="D154" s="106">
        <v>0.18</v>
      </c>
    </row>
    <row r="155" spans="2:4">
      <c r="B155" s="133">
        <v>42471</v>
      </c>
      <c r="C155" s="106">
        <v>0.03</v>
      </c>
      <c r="D155" s="106">
        <v>-0.13</v>
      </c>
    </row>
    <row r="156" spans="2:4">
      <c r="B156" s="133">
        <v>42472</v>
      </c>
      <c r="C156" s="106">
        <v>0.08</v>
      </c>
      <c r="D156" s="106">
        <v>0.1</v>
      </c>
    </row>
    <row r="157" spans="2:4">
      <c r="B157" s="133">
        <v>42473</v>
      </c>
      <c r="C157" s="106">
        <v>0.15</v>
      </c>
      <c r="D157" s="106">
        <v>-0.11</v>
      </c>
    </row>
    <row r="158" spans="2:4">
      <c r="B158" s="133">
        <v>42474</v>
      </c>
      <c r="C158" s="106">
        <v>0.04</v>
      </c>
      <c r="D158" s="106">
        <v>0.01</v>
      </c>
    </row>
    <row r="159" spans="2:4">
      <c r="B159" s="133">
        <v>42475</v>
      </c>
      <c r="C159" s="106">
        <v>0.2</v>
      </c>
      <c r="D159" s="106">
        <v>-0.13</v>
      </c>
    </row>
    <row r="160" spans="2:4">
      <c r="B160" s="133">
        <v>42476</v>
      </c>
      <c r="C160" s="106">
        <v>0.12</v>
      </c>
      <c r="D160" s="106">
        <v>0.03</v>
      </c>
    </row>
    <row r="161" spans="2:4">
      <c r="B161" s="133">
        <v>42477</v>
      </c>
      <c r="C161" s="106">
        <v>0.01</v>
      </c>
      <c r="D161" s="106">
        <v>0</v>
      </c>
    </row>
    <row r="162" spans="2:4">
      <c r="B162" s="133">
        <v>42478</v>
      </c>
      <c r="C162" s="106">
        <v>-0.04</v>
      </c>
      <c r="D162" s="106">
        <v>0.12</v>
      </c>
    </row>
    <row r="163" spans="2:4">
      <c r="B163" s="133">
        <v>42479</v>
      </c>
      <c r="C163" s="106">
        <v>-0.11</v>
      </c>
      <c r="D163" s="106">
        <v>0.12</v>
      </c>
    </row>
    <row r="164" spans="2:4">
      <c r="B164" s="133">
        <v>42480</v>
      </c>
      <c r="C164" s="106">
        <v>-0.15</v>
      </c>
      <c r="D164" s="106">
        <v>0.08</v>
      </c>
    </row>
    <row r="165" spans="2:4">
      <c r="B165" s="133">
        <v>42481</v>
      </c>
      <c r="C165" s="106">
        <v>0.02</v>
      </c>
      <c r="D165" s="106">
        <v>0.08</v>
      </c>
    </row>
    <row r="166" spans="2:4">
      <c r="B166" s="133">
        <v>42482</v>
      </c>
      <c r="C166" s="106">
        <v>-7.0000000000000007E-2</v>
      </c>
      <c r="D166" s="106">
        <v>0.14000000000000001</v>
      </c>
    </row>
    <row r="167" spans="2:4">
      <c r="B167" s="133">
        <v>42483</v>
      </c>
      <c r="C167" s="106">
        <v>-0.11</v>
      </c>
      <c r="D167" s="106">
        <v>0.06</v>
      </c>
    </row>
    <row r="168" spans="2:4">
      <c r="B168" s="133">
        <v>42484</v>
      </c>
      <c r="C168" s="106">
        <v>7.0000000000000007E-2</v>
      </c>
      <c r="D168" s="106">
        <v>-0.04</v>
      </c>
    </row>
    <row r="169" spans="2:4">
      <c r="B169" s="133">
        <v>42485</v>
      </c>
      <c r="C169" s="106">
        <v>-0.1</v>
      </c>
      <c r="D169" s="106">
        <v>-0.01</v>
      </c>
    </row>
    <row r="170" spans="2:4">
      <c r="B170" s="133">
        <v>42486</v>
      </c>
      <c r="C170" s="106">
        <v>-0.06</v>
      </c>
      <c r="D170" s="106">
        <v>-0.11</v>
      </c>
    </row>
    <row r="171" spans="2:4">
      <c r="B171" s="133">
        <v>42487</v>
      </c>
      <c r="C171" s="106">
        <v>0.16</v>
      </c>
      <c r="D171" s="106">
        <v>0.18</v>
      </c>
    </row>
    <row r="172" spans="2:4">
      <c r="B172" s="133">
        <v>42488</v>
      </c>
      <c r="C172" s="106">
        <v>0.13</v>
      </c>
      <c r="D172" s="106">
        <v>0.09</v>
      </c>
    </row>
    <row r="173" spans="2:4">
      <c r="B173" s="133">
        <v>42489</v>
      </c>
      <c r="C173" s="106">
        <v>-7.0000000000000007E-2</v>
      </c>
      <c r="D173" s="106">
        <v>-0.14000000000000001</v>
      </c>
    </row>
    <row r="174" spans="2:4">
      <c r="B174" s="133">
        <v>42490</v>
      </c>
      <c r="C174" s="106">
        <v>0.09</v>
      </c>
      <c r="D174" s="106">
        <v>0.19</v>
      </c>
    </row>
    <row r="175" spans="2:4">
      <c r="B175" s="133">
        <v>42491</v>
      </c>
      <c r="C175" s="106">
        <v>0.02</v>
      </c>
      <c r="D175" s="106">
        <v>-0.06</v>
      </c>
    </row>
    <row r="176" spans="2:4">
      <c r="B176" s="133">
        <v>42492</v>
      </c>
      <c r="C176" s="106">
        <v>-0.13</v>
      </c>
      <c r="D176" s="106">
        <v>0.08</v>
      </c>
    </row>
    <row r="177" spans="2:4">
      <c r="B177" s="133">
        <v>42493</v>
      </c>
      <c r="C177" s="106">
        <v>0.13</v>
      </c>
      <c r="D177" s="106">
        <v>0.14000000000000001</v>
      </c>
    </row>
    <row r="178" spans="2:4">
      <c r="B178" s="133">
        <v>42494</v>
      </c>
      <c r="C178" s="106">
        <v>0.02</v>
      </c>
      <c r="D178" s="106">
        <v>0.14000000000000001</v>
      </c>
    </row>
    <row r="179" spans="2:4">
      <c r="B179" s="133">
        <v>42495</v>
      </c>
      <c r="C179" s="106">
        <v>0.09</v>
      </c>
      <c r="D179" s="106">
        <v>-0.09</v>
      </c>
    </row>
    <row r="180" spans="2:4">
      <c r="B180" s="133">
        <v>42496</v>
      </c>
      <c r="C180" s="106">
        <v>-0.09</v>
      </c>
      <c r="D180" s="106">
        <v>-0.15</v>
      </c>
    </row>
    <row r="181" spans="2:4">
      <c r="B181" s="133">
        <v>42497</v>
      </c>
      <c r="C181" s="106">
        <v>0.17</v>
      </c>
      <c r="D181" s="106">
        <v>-0.02</v>
      </c>
    </row>
    <row r="182" spans="2:4">
      <c r="B182" s="133">
        <v>42498</v>
      </c>
      <c r="C182" s="106">
        <v>0.2</v>
      </c>
      <c r="D182" s="106">
        <v>-0.08</v>
      </c>
    </row>
    <row r="183" spans="2:4">
      <c r="B183" s="133">
        <v>42499</v>
      </c>
      <c r="C183" s="106">
        <v>-0.03</v>
      </c>
      <c r="D183" s="106">
        <v>0.17</v>
      </c>
    </row>
    <row r="184" spans="2:4">
      <c r="B184" s="133">
        <v>42500</v>
      </c>
      <c r="C184" s="106">
        <v>0.19</v>
      </c>
      <c r="D184" s="106">
        <v>-0.14000000000000001</v>
      </c>
    </row>
    <row r="185" spans="2:4">
      <c r="B185" s="133">
        <v>42501</v>
      </c>
      <c r="C185" s="106">
        <v>0.05</v>
      </c>
      <c r="D185" s="106">
        <v>0.1</v>
      </c>
    </row>
    <row r="186" spans="2:4">
      <c r="B186" s="133">
        <v>42502</v>
      </c>
      <c r="C186" s="106">
        <v>0.08</v>
      </c>
      <c r="D186" s="106">
        <v>0.09</v>
      </c>
    </row>
    <row r="187" spans="2:4">
      <c r="B187" s="133">
        <v>42503</v>
      </c>
      <c r="C187" s="106">
        <v>0.05</v>
      </c>
      <c r="D187" s="106">
        <v>-7.0000000000000007E-2</v>
      </c>
    </row>
    <row r="188" spans="2:4">
      <c r="B188" s="133">
        <v>42504</v>
      </c>
      <c r="C188" s="106">
        <v>0.2</v>
      </c>
      <c r="D188" s="106">
        <v>0.04</v>
      </c>
    </row>
    <row r="189" spans="2:4">
      <c r="B189" s="133">
        <v>42505</v>
      </c>
      <c r="C189" s="106">
        <v>0.01</v>
      </c>
      <c r="D189" s="106">
        <v>-0.03</v>
      </c>
    </row>
    <row r="190" spans="2:4">
      <c r="B190" s="133">
        <v>42506</v>
      </c>
      <c r="C190" s="106">
        <v>-0.06</v>
      </c>
      <c r="D190" s="106">
        <v>-0.12</v>
      </c>
    </row>
    <row r="191" spans="2:4">
      <c r="B191" s="133">
        <v>42507</v>
      </c>
      <c r="C191" s="106">
        <v>0.17</v>
      </c>
      <c r="D191" s="106">
        <v>0.09</v>
      </c>
    </row>
    <row r="192" spans="2:4">
      <c r="B192" s="133">
        <v>42508</v>
      </c>
      <c r="C192" s="106">
        <v>0.08</v>
      </c>
      <c r="D192" s="106">
        <v>0.1</v>
      </c>
    </row>
    <row r="193" spans="2:4">
      <c r="B193" s="133">
        <v>42509</v>
      </c>
      <c r="C193" s="106">
        <v>-0.15</v>
      </c>
      <c r="D193" s="106">
        <v>-0.01</v>
      </c>
    </row>
    <row r="194" spans="2:4">
      <c r="B194" s="133">
        <v>42510</v>
      </c>
      <c r="C194" s="106">
        <v>0.1</v>
      </c>
      <c r="D194" s="106">
        <v>-0.03</v>
      </c>
    </row>
    <row r="195" spans="2:4">
      <c r="B195" s="133">
        <v>42511</v>
      </c>
      <c r="C195" s="106">
        <v>0.04</v>
      </c>
      <c r="D195" s="106">
        <v>0.08</v>
      </c>
    </row>
    <row r="196" spans="2:4">
      <c r="B196" s="133">
        <v>42512</v>
      </c>
      <c r="C196" s="106">
        <v>-0.1</v>
      </c>
      <c r="D196" s="106">
        <v>-0.08</v>
      </c>
    </row>
    <row r="197" spans="2:4">
      <c r="B197" s="133">
        <v>42513</v>
      </c>
      <c r="C197" s="106">
        <v>-0.06</v>
      </c>
      <c r="D197" s="106">
        <v>0.1</v>
      </c>
    </row>
    <row r="198" spans="2:4">
      <c r="B198" s="133">
        <v>42514</v>
      </c>
      <c r="C198" s="106">
        <v>0.02</v>
      </c>
      <c r="D198" s="106">
        <v>0.12</v>
      </c>
    </row>
    <row r="199" spans="2:4">
      <c r="B199" s="133">
        <v>42515</v>
      </c>
      <c r="C199" s="106">
        <v>-0.1</v>
      </c>
      <c r="D199" s="106">
        <v>-0.03</v>
      </c>
    </row>
    <row r="200" spans="2:4">
      <c r="B200" s="133">
        <v>42516</v>
      </c>
      <c r="C200" s="106">
        <v>-0.1</v>
      </c>
      <c r="D200" s="106">
        <v>-0.1</v>
      </c>
    </row>
    <row r="201" spans="2:4">
      <c r="B201" s="133">
        <v>42517</v>
      </c>
      <c r="C201" s="106">
        <v>-0.13</v>
      </c>
      <c r="D201" s="106">
        <v>0.14000000000000001</v>
      </c>
    </row>
    <row r="202" spans="2:4">
      <c r="B202" s="133">
        <v>42518</v>
      </c>
      <c r="C202" s="106">
        <v>-0.01</v>
      </c>
      <c r="D202" s="106">
        <v>7.0000000000000007E-2</v>
      </c>
    </row>
    <row r="203" spans="2:4">
      <c r="B203" s="133">
        <v>42519</v>
      </c>
      <c r="C203" s="106">
        <v>-0.05</v>
      </c>
      <c r="D203" s="106">
        <v>0.17</v>
      </c>
    </row>
    <row r="204" spans="2:4">
      <c r="B204" s="133">
        <v>42520</v>
      </c>
      <c r="C204" s="106">
        <v>0.11</v>
      </c>
      <c r="D204" s="106">
        <v>0.11</v>
      </c>
    </row>
    <row r="205" spans="2:4">
      <c r="B205" s="133">
        <v>42521</v>
      </c>
      <c r="C205" s="106">
        <v>-0.06</v>
      </c>
      <c r="D205" s="106">
        <v>0.16</v>
      </c>
    </row>
    <row r="206" spans="2:4">
      <c r="B206" s="133">
        <v>42522</v>
      </c>
      <c r="C206" s="106">
        <v>0.08</v>
      </c>
      <c r="D206" s="106">
        <v>0.13</v>
      </c>
    </row>
    <row r="207" spans="2:4">
      <c r="B207" s="133">
        <v>42523</v>
      </c>
      <c r="C207" s="106">
        <v>0.14000000000000001</v>
      </c>
      <c r="D207" s="106">
        <v>0.16</v>
      </c>
    </row>
    <row r="208" spans="2:4">
      <c r="B208" s="133">
        <v>42524</v>
      </c>
      <c r="C208" s="106">
        <v>0.16</v>
      </c>
      <c r="D208" s="106">
        <v>0.03</v>
      </c>
    </row>
    <row r="209" spans="2:4">
      <c r="B209" s="133">
        <v>42525</v>
      </c>
      <c r="C209" s="106">
        <v>0.02</v>
      </c>
      <c r="D209" s="106">
        <v>-0.15</v>
      </c>
    </row>
    <row r="210" spans="2:4">
      <c r="B210" s="133">
        <v>42526</v>
      </c>
      <c r="C210" s="106">
        <v>0.13</v>
      </c>
      <c r="D210" s="106">
        <v>-0.08</v>
      </c>
    </row>
    <row r="211" spans="2:4">
      <c r="B211" s="133">
        <v>42527</v>
      </c>
      <c r="C211" s="106">
        <v>0.2</v>
      </c>
      <c r="D211" s="106">
        <v>0.04</v>
      </c>
    </row>
    <row r="212" spans="2:4">
      <c r="B212" s="133">
        <v>42528</v>
      </c>
      <c r="C212" s="106">
        <v>-0.14000000000000001</v>
      </c>
      <c r="D212" s="106">
        <v>0.2</v>
      </c>
    </row>
    <row r="213" spans="2:4">
      <c r="B213" s="133">
        <v>42529</v>
      </c>
      <c r="C213" s="106">
        <v>0.15</v>
      </c>
      <c r="D213" s="106">
        <v>-0.05</v>
      </c>
    </row>
    <row r="214" spans="2:4">
      <c r="B214" s="133">
        <v>42530</v>
      </c>
      <c r="C214" s="106">
        <v>0.12</v>
      </c>
      <c r="D214" s="106">
        <v>0.16</v>
      </c>
    </row>
    <row r="215" spans="2:4">
      <c r="B215" s="133">
        <v>42531</v>
      </c>
      <c r="C215" s="106">
        <v>-0.14000000000000001</v>
      </c>
      <c r="D215" s="106">
        <v>0.09</v>
      </c>
    </row>
    <row r="216" spans="2:4">
      <c r="B216" s="133">
        <v>42532</v>
      </c>
      <c r="C216" s="106">
        <v>0.13</v>
      </c>
      <c r="D216" s="106">
        <v>0.04</v>
      </c>
    </row>
    <row r="217" spans="2:4">
      <c r="B217" s="133">
        <v>42533</v>
      </c>
      <c r="C217" s="106">
        <v>0.14000000000000001</v>
      </c>
      <c r="D217" s="106">
        <v>0.19</v>
      </c>
    </row>
    <row r="218" spans="2:4">
      <c r="B218" s="133">
        <v>42534</v>
      </c>
      <c r="C218" s="106">
        <v>0.13</v>
      </c>
      <c r="D218" s="106">
        <v>-0.15</v>
      </c>
    </row>
    <row r="219" spans="2:4">
      <c r="B219" s="133">
        <v>42535</v>
      </c>
      <c r="C219" s="106">
        <v>-0.09</v>
      </c>
      <c r="D219" s="106">
        <v>0.14000000000000001</v>
      </c>
    </row>
    <row r="220" spans="2:4">
      <c r="B220" s="133">
        <v>42536</v>
      </c>
      <c r="C220" s="106">
        <v>-0.13</v>
      </c>
      <c r="D220" s="106">
        <v>-7.0000000000000007E-2</v>
      </c>
    </row>
    <row r="221" spans="2:4">
      <c r="B221" s="133">
        <v>42537</v>
      </c>
      <c r="C221" s="106">
        <v>-0.01</v>
      </c>
      <c r="D221" s="106">
        <v>-7.0000000000000007E-2</v>
      </c>
    </row>
    <row r="222" spans="2:4">
      <c r="B222" s="133">
        <v>42538</v>
      </c>
      <c r="C222" s="106">
        <v>0.11</v>
      </c>
      <c r="D222" s="106">
        <v>-0.12</v>
      </c>
    </row>
    <row r="223" spans="2:4">
      <c r="B223" s="133">
        <v>42539</v>
      </c>
      <c r="C223" s="106">
        <v>0.14000000000000001</v>
      </c>
      <c r="D223" s="106">
        <v>-0.15</v>
      </c>
    </row>
    <row r="224" spans="2:4">
      <c r="B224" s="133">
        <v>42540</v>
      </c>
      <c r="C224" s="106">
        <v>0.08</v>
      </c>
      <c r="D224" s="106">
        <v>0.1</v>
      </c>
    </row>
    <row r="225" spans="2:4">
      <c r="B225" s="133">
        <v>42541</v>
      </c>
      <c r="C225" s="106">
        <v>-0.14000000000000001</v>
      </c>
      <c r="D225" s="106">
        <v>0.1</v>
      </c>
    </row>
    <row r="226" spans="2:4">
      <c r="B226" s="133">
        <v>42542</v>
      </c>
      <c r="C226" s="106">
        <v>0.13</v>
      </c>
      <c r="D226" s="106">
        <v>0.15</v>
      </c>
    </row>
    <row r="227" spans="2:4">
      <c r="B227" s="133">
        <v>42543</v>
      </c>
      <c r="C227" s="106">
        <v>0.15</v>
      </c>
      <c r="D227" s="106">
        <v>0</v>
      </c>
    </row>
    <row r="228" spans="2:4">
      <c r="B228" s="133">
        <v>42544</v>
      </c>
      <c r="C228" s="106">
        <v>-0.04</v>
      </c>
      <c r="D228" s="106">
        <v>-0.06</v>
      </c>
    </row>
    <row r="229" spans="2:4">
      <c r="B229" s="133">
        <v>42545</v>
      </c>
      <c r="C229" s="106">
        <v>0.06</v>
      </c>
      <c r="D229" s="106">
        <v>-0.12</v>
      </c>
    </row>
    <row r="230" spans="2:4">
      <c r="B230" s="133">
        <v>42546</v>
      </c>
      <c r="C230" s="106">
        <v>-0.09</v>
      </c>
      <c r="D230" s="106">
        <v>0.1</v>
      </c>
    </row>
    <row r="231" spans="2:4">
      <c r="B231" s="133">
        <v>42547</v>
      </c>
      <c r="C231" s="106">
        <v>0.09</v>
      </c>
      <c r="D231" s="106">
        <v>-0.12</v>
      </c>
    </row>
    <row r="232" spans="2:4">
      <c r="B232" s="133">
        <v>42548</v>
      </c>
      <c r="C232" s="106">
        <v>0.17</v>
      </c>
      <c r="D232" s="106">
        <v>0.12</v>
      </c>
    </row>
    <row r="233" spans="2:4">
      <c r="B233" s="133">
        <v>42549</v>
      </c>
      <c r="C233" s="106">
        <v>0</v>
      </c>
      <c r="D233" s="106">
        <v>0.08</v>
      </c>
    </row>
    <row r="234" spans="2:4">
      <c r="B234" s="133">
        <v>42550</v>
      </c>
      <c r="C234" s="106">
        <v>0.1</v>
      </c>
      <c r="D234" s="106">
        <v>0</v>
      </c>
    </row>
    <row r="235" spans="2:4">
      <c r="B235" s="133">
        <v>42551</v>
      </c>
      <c r="C235" s="106">
        <v>-0.06</v>
      </c>
      <c r="D235" s="106">
        <v>-0.15</v>
      </c>
    </row>
    <row r="236" spans="2:4">
      <c r="B236" s="133">
        <v>42552</v>
      </c>
      <c r="C236" s="106">
        <v>0.09</v>
      </c>
      <c r="D236" s="106">
        <v>0.02</v>
      </c>
    </row>
    <row r="237" spans="2:4">
      <c r="B237" s="133">
        <v>42553</v>
      </c>
      <c r="C237" s="106">
        <v>-0.03</v>
      </c>
      <c r="D237" s="106">
        <v>-0.05</v>
      </c>
    </row>
    <row r="238" spans="2:4">
      <c r="B238" s="133">
        <v>42554</v>
      </c>
      <c r="C238" s="106">
        <v>-0.12</v>
      </c>
      <c r="D238" s="106">
        <v>-0.08</v>
      </c>
    </row>
    <row r="239" spans="2:4">
      <c r="B239" s="133">
        <v>42555</v>
      </c>
      <c r="C239" s="106">
        <v>0.18</v>
      </c>
      <c r="D239" s="106">
        <v>7.0000000000000007E-2</v>
      </c>
    </row>
    <row r="240" spans="2:4">
      <c r="B240" s="133">
        <v>42556</v>
      </c>
      <c r="C240" s="106">
        <v>0.03</v>
      </c>
      <c r="D240" s="106">
        <v>-0.04</v>
      </c>
    </row>
    <row r="241" spans="2:4">
      <c r="B241" s="133">
        <v>42557</v>
      </c>
      <c r="C241" s="106">
        <v>-0.08</v>
      </c>
      <c r="D241" s="106">
        <v>0.18</v>
      </c>
    </row>
    <row r="242" spans="2:4">
      <c r="B242" s="133">
        <v>42558</v>
      </c>
      <c r="C242" s="106">
        <v>-0.01</v>
      </c>
      <c r="D242" s="106">
        <v>0.19</v>
      </c>
    </row>
    <row r="243" spans="2:4">
      <c r="B243" s="133">
        <v>42559</v>
      </c>
      <c r="C243" s="106">
        <v>0</v>
      </c>
      <c r="D243" s="106">
        <v>-0.02</v>
      </c>
    </row>
    <row r="244" spans="2:4">
      <c r="B244" s="133">
        <v>42560</v>
      </c>
      <c r="C244" s="106">
        <v>0.11</v>
      </c>
      <c r="D244" s="106">
        <v>-0.06</v>
      </c>
    </row>
    <row r="245" spans="2:4">
      <c r="B245" s="133">
        <v>42561</v>
      </c>
      <c r="C245" s="106">
        <v>0.1</v>
      </c>
      <c r="D245" s="106">
        <v>-0.13</v>
      </c>
    </row>
    <row r="246" spans="2:4">
      <c r="B246" s="133">
        <v>42562</v>
      </c>
      <c r="C246" s="106">
        <v>0.01</v>
      </c>
      <c r="D246" s="106">
        <v>-0.05</v>
      </c>
    </row>
    <row r="247" spans="2:4">
      <c r="B247" s="133">
        <v>42563</v>
      </c>
      <c r="C247" s="106">
        <v>0.03</v>
      </c>
      <c r="D247" s="106">
        <v>-0.02</v>
      </c>
    </row>
    <row r="248" spans="2:4">
      <c r="B248" s="133">
        <v>42564</v>
      </c>
      <c r="C248" s="106">
        <v>0.19</v>
      </c>
      <c r="D248" s="106">
        <v>-0.14000000000000001</v>
      </c>
    </row>
    <row r="249" spans="2:4">
      <c r="B249" s="133">
        <v>42565</v>
      </c>
      <c r="C249" s="106">
        <v>0.01</v>
      </c>
      <c r="D249" s="106">
        <v>0.08</v>
      </c>
    </row>
    <row r="250" spans="2:4">
      <c r="B250" s="133">
        <v>42566</v>
      </c>
      <c r="C250" s="106">
        <v>-7.0000000000000007E-2</v>
      </c>
      <c r="D250" s="106">
        <v>-0.11</v>
      </c>
    </row>
    <row r="251" spans="2:4">
      <c r="B251" s="133">
        <v>42567</v>
      </c>
      <c r="C251" s="106">
        <v>0.14000000000000001</v>
      </c>
      <c r="D251" s="106">
        <v>0.16</v>
      </c>
    </row>
    <row r="252" spans="2:4">
      <c r="B252" s="133">
        <v>42568</v>
      </c>
      <c r="C252" s="106">
        <v>-0.06</v>
      </c>
      <c r="D252" s="106">
        <v>0.18</v>
      </c>
    </row>
    <row r="253" spans="2:4">
      <c r="B253" s="133">
        <v>42569</v>
      </c>
      <c r="C253" s="106">
        <v>0.13</v>
      </c>
      <c r="D253" s="106">
        <v>-0.05</v>
      </c>
    </row>
    <row r="254" spans="2:4">
      <c r="B254" s="133">
        <v>42570</v>
      </c>
      <c r="C254" s="106">
        <v>0.03</v>
      </c>
      <c r="D254" s="106">
        <v>0.06</v>
      </c>
    </row>
    <row r="255" spans="2:4">
      <c r="B255" s="133">
        <v>42571</v>
      </c>
      <c r="C255" s="106">
        <v>0.02</v>
      </c>
      <c r="D255" s="106">
        <v>0.06</v>
      </c>
    </row>
    <row r="256" spans="2:4">
      <c r="B256" s="133">
        <v>42572</v>
      </c>
      <c r="C256" s="106">
        <v>0.14000000000000001</v>
      </c>
      <c r="D256" s="106">
        <v>0.16</v>
      </c>
    </row>
    <row r="257" spans="2:4">
      <c r="B257" s="133">
        <v>42573</v>
      </c>
      <c r="C257" s="106">
        <v>0.03</v>
      </c>
      <c r="D257" s="106">
        <v>0.05</v>
      </c>
    </row>
    <row r="258" spans="2:4">
      <c r="B258" s="133">
        <v>42574</v>
      </c>
      <c r="C258" s="106">
        <v>0.06</v>
      </c>
      <c r="D258" s="106">
        <v>-0.14000000000000001</v>
      </c>
    </row>
    <row r="259" spans="2:4">
      <c r="B259" s="133">
        <v>42575</v>
      </c>
      <c r="C259" s="106">
        <v>-0.06</v>
      </c>
      <c r="D259" s="106">
        <v>7.0000000000000007E-2</v>
      </c>
    </row>
    <row r="260" spans="2:4">
      <c r="B260" s="133">
        <v>42576</v>
      </c>
      <c r="C260" s="106">
        <v>0.06</v>
      </c>
      <c r="D260" s="106">
        <v>-0.03</v>
      </c>
    </row>
    <row r="261" spans="2:4">
      <c r="B261" s="133">
        <v>42577</v>
      </c>
      <c r="C261" s="106">
        <v>0.04</v>
      </c>
      <c r="D261" s="106">
        <v>0.18</v>
      </c>
    </row>
    <row r="262" spans="2:4">
      <c r="B262" s="133">
        <v>42578</v>
      </c>
      <c r="C262" s="106">
        <v>0.19</v>
      </c>
      <c r="D262" s="106">
        <v>-7.0000000000000007E-2</v>
      </c>
    </row>
    <row r="263" spans="2:4">
      <c r="B263" s="133">
        <v>42579</v>
      </c>
      <c r="C263" s="106">
        <v>0.06</v>
      </c>
      <c r="D263" s="106">
        <v>-0.1</v>
      </c>
    </row>
    <row r="264" spans="2:4">
      <c r="B264" s="133">
        <v>42580</v>
      </c>
      <c r="C264" s="106">
        <v>0.2</v>
      </c>
      <c r="D264" s="106">
        <v>-0.05</v>
      </c>
    </row>
    <row r="265" spans="2:4">
      <c r="B265" s="133">
        <v>42581</v>
      </c>
      <c r="C265" s="106">
        <v>7.0000000000000007E-2</v>
      </c>
      <c r="D265" s="106">
        <v>-0.04</v>
      </c>
    </row>
    <row r="266" spans="2:4">
      <c r="B266" s="133">
        <v>42582</v>
      </c>
      <c r="C266" s="106">
        <v>-0.1</v>
      </c>
      <c r="D266" s="106">
        <v>0.04</v>
      </c>
    </row>
    <row r="267" spans="2:4">
      <c r="B267" s="133">
        <v>42583</v>
      </c>
      <c r="C267" s="106">
        <v>-0.06</v>
      </c>
      <c r="D267" s="106">
        <v>-0.08</v>
      </c>
    </row>
    <row r="268" spans="2:4">
      <c r="B268" s="133">
        <v>42584</v>
      </c>
      <c r="C268" s="106">
        <v>0.12</v>
      </c>
      <c r="D268" s="106">
        <v>0.12</v>
      </c>
    </row>
    <row r="269" spans="2:4">
      <c r="B269" s="133">
        <v>42585</v>
      </c>
      <c r="C269" s="106">
        <v>-0.08</v>
      </c>
      <c r="D269" s="106">
        <v>0.09</v>
      </c>
    </row>
    <row r="270" spans="2:4">
      <c r="B270" s="133">
        <v>42586</v>
      </c>
      <c r="C270" s="106">
        <v>0.18</v>
      </c>
      <c r="D270" s="106">
        <v>0</v>
      </c>
    </row>
    <row r="271" spans="2:4">
      <c r="B271" s="133">
        <v>42587</v>
      </c>
      <c r="C271" s="106">
        <v>-0.13</v>
      </c>
      <c r="D271" s="106">
        <v>-0.06</v>
      </c>
    </row>
    <row r="272" spans="2:4">
      <c r="B272" s="133">
        <v>42588</v>
      </c>
      <c r="C272" s="106">
        <v>-0.06</v>
      </c>
      <c r="D272" s="106">
        <v>0.17</v>
      </c>
    </row>
    <row r="273" spans="2:4">
      <c r="B273" s="133">
        <v>42589</v>
      </c>
      <c r="C273" s="106">
        <v>0.09</v>
      </c>
      <c r="D273" s="106">
        <v>0.18</v>
      </c>
    </row>
    <row r="274" spans="2:4">
      <c r="B274" s="133">
        <v>42590</v>
      </c>
      <c r="C274" s="106">
        <v>0.01</v>
      </c>
      <c r="D274" s="106">
        <v>-0.09</v>
      </c>
    </row>
    <row r="275" spans="2:4">
      <c r="B275" s="133">
        <v>42591</v>
      </c>
      <c r="C275" s="106">
        <v>0.1</v>
      </c>
      <c r="D275" s="106">
        <v>0.15</v>
      </c>
    </row>
    <row r="276" spans="2:4">
      <c r="B276" s="133">
        <v>42592</v>
      </c>
      <c r="C276" s="106">
        <v>0.04</v>
      </c>
      <c r="D276" s="106">
        <v>-0.04</v>
      </c>
    </row>
    <row r="277" spans="2:4">
      <c r="B277" s="133">
        <v>42593</v>
      </c>
      <c r="C277" s="106">
        <v>0.06</v>
      </c>
      <c r="D277" s="106">
        <v>0.08</v>
      </c>
    </row>
    <row r="278" spans="2:4">
      <c r="B278" s="133">
        <v>42594</v>
      </c>
      <c r="C278" s="106">
        <v>-0.14000000000000001</v>
      </c>
      <c r="D278" s="106">
        <v>0.18</v>
      </c>
    </row>
    <row r="279" spans="2:4">
      <c r="B279" s="133">
        <v>42595</v>
      </c>
      <c r="C279" s="106">
        <v>-0.03</v>
      </c>
      <c r="D279" s="106">
        <v>-0.11</v>
      </c>
    </row>
    <row r="280" spans="2:4">
      <c r="B280" s="133">
        <v>42596</v>
      </c>
      <c r="C280" s="106">
        <v>0</v>
      </c>
      <c r="D280" s="106">
        <v>7.0000000000000007E-2</v>
      </c>
    </row>
    <row r="281" spans="2:4">
      <c r="B281" s="133">
        <v>42597</v>
      </c>
      <c r="C281" s="106">
        <v>0.16</v>
      </c>
      <c r="D281" s="106">
        <v>-0.13</v>
      </c>
    </row>
    <row r="282" spans="2:4">
      <c r="B282" s="133">
        <v>42598</v>
      </c>
      <c r="C282" s="106">
        <v>-0.02</v>
      </c>
      <c r="D282" s="106">
        <v>-0.03</v>
      </c>
    </row>
    <row r="283" spans="2:4">
      <c r="B283" s="133">
        <v>42599</v>
      </c>
      <c r="C283" s="106">
        <v>0.15</v>
      </c>
      <c r="D283" s="106">
        <v>0.18</v>
      </c>
    </row>
    <row r="284" spans="2:4">
      <c r="B284" s="133">
        <v>42600</v>
      </c>
      <c r="C284" s="106">
        <v>-0.01</v>
      </c>
      <c r="D284" s="106">
        <v>-0.14000000000000001</v>
      </c>
    </row>
    <row r="285" spans="2:4">
      <c r="B285" s="133">
        <v>42601</v>
      </c>
      <c r="C285" s="106">
        <v>-0.09</v>
      </c>
      <c r="D285" s="106">
        <v>-0.11</v>
      </c>
    </row>
    <row r="286" spans="2:4">
      <c r="B286" s="133">
        <v>42602</v>
      </c>
      <c r="C286" s="106">
        <v>0.2</v>
      </c>
      <c r="D286" s="106">
        <v>-0.12</v>
      </c>
    </row>
    <row r="287" spans="2:4">
      <c r="B287" s="133">
        <v>42603</v>
      </c>
      <c r="C287" s="106">
        <v>0.14000000000000001</v>
      </c>
      <c r="D287" s="106">
        <v>0.04</v>
      </c>
    </row>
    <row r="288" spans="2:4">
      <c r="B288" s="133">
        <v>42604</v>
      </c>
      <c r="C288" s="106">
        <v>0.06</v>
      </c>
      <c r="D288" s="106">
        <v>-0.1</v>
      </c>
    </row>
    <row r="289" spans="2:4">
      <c r="B289" s="133">
        <v>42605</v>
      </c>
      <c r="C289" s="106">
        <v>0.12</v>
      </c>
      <c r="D289" s="106">
        <v>-0.08</v>
      </c>
    </row>
    <row r="290" spans="2:4">
      <c r="B290" s="133">
        <v>42606</v>
      </c>
      <c r="C290" s="106">
        <v>0.01</v>
      </c>
      <c r="D290" s="106">
        <v>-0.02</v>
      </c>
    </row>
    <row r="291" spans="2:4">
      <c r="B291" s="133">
        <v>42607</v>
      </c>
      <c r="C291" s="106">
        <v>-0.13</v>
      </c>
      <c r="D291" s="106">
        <v>-7.0000000000000007E-2</v>
      </c>
    </row>
    <row r="292" spans="2:4">
      <c r="B292" s="133">
        <v>42608</v>
      </c>
      <c r="C292" s="106">
        <v>-0.05</v>
      </c>
      <c r="D292" s="106">
        <v>-0.13</v>
      </c>
    </row>
    <row r="293" spans="2:4">
      <c r="B293" s="133">
        <v>42609</v>
      </c>
      <c r="C293" s="106">
        <v>-0.05</v>
      </c>
      <c r="D293" s="106">
        <v>0.13</v>
      </c>
    </row>
    <row r="294" spans="2:4">
      <c r="B294" s="133">
        <v>42610</v>
      </c>
      <c r="C294" s="106">
        <v>-0.09</v>
      </c>
      <c r="D294" s="106">
        <v>0.19</v>
      </c>
    </row>
    <row r="295" spans="2:4">
      <c r="B295" s="133">
        <v>42611</v>
      </c>
      <c r="C295" s="106">
        <v>-0.04</v>
      </c>
      <c r="D295" s="106">
        <v>0.18</v>
      </c>
    </row>
    <row r="296" spans="2:4">
      <c r="B296" s="133">
        <v>42612</v>
      </c>
      <c r="C296" s="106">
        <v>0.19</v>
      </c>
      <c r="D296" s="106">
        <v>0</v>
      </c>
    </row>
    <row r="297" spans="2:4">
      <c r="B297" s="133">
        <v>42613</v>
      </c>
      <c r="C297" s="106">
        <v>-0.11</v>
      </c>
      <c r="D297" s="106">
        <v>-0.14000000000000001</v>
      </c>
    </row>
    <row r="298" spans="2:4">
      <c r="B298" s="133">
        <v>42614</v>
      </c>
      <c r="C298" s="106">
        <v>0.05</v>
      </c>
      <c r="D298" s="106">
        <v>0.15</v>
      </c>
    </row>
    <row r="299" spans="2:4">
      <c r="B299" s="133">
        <v>42615</v>
      </c>
      <c r="C299" s="106">
        <v>-7.0000000000000007E-2</v>
      </c>
      <c r="D299" s="106">
        <v>0.15</v>
      </c>
    </row>
    <row r="300" spans="2:4">
      <c r="B300" s="133">
        <v>42616</v>
      </c>
      <c r="C300" s="106">
        <v>0.13</v>
      </c>
      <c r="D300" s="106">
        <v>0.15</v>
      </c>
    </row>
    <row r="301" spans="2:4">
      <c r="B301" s="133">
        <v>42617</v>
      </c>
      <c r="C301" s="106">
        <v>-0.11</v>
      </c>
      <c r="D301" s="106">
        <v>-0.1</v>
      </c>
    </row>
    <row r="302" spans="2:4">
      <c r="B302" s="133">
        <v>42618</v>
      </c>
      <c r="C302" s="106">
        <v>0.18</v>
      </c>
      <c r="D302" s="106">
        <v>0</v>
      </c>
    </row>
    <row r="303" spans="2:4">
      <c r="B303" s="133">
        <v>42619</v>
      </c>
      <c r="C303" s="106">
        <v>-0.15</v>
      </c>
      <c r="D303" s="106">
        <v>0.03</v>
      </c>
    </row>
    <row r="304" spans="2:4">
      <c r="B304" s="133">
        <v>42620</v>
      </c>
      <c r="C304" s="106">
        <v>0.19</v>
      </c>
      <c r="D304" s="106">
        <v>0.17</v>
      </c>
    </row>
    <row r="305" spans="2:4">
      <c r="B305" s="133">
        <v>42621</v>
      </c>
      <c r="C305" s="106">
        <v>0.19</v>
      </c>
      <c r="D305" s="106">
        <v>-0.08</v>
      </c>
    </row>
    <row r="306" spans="2:4">
      <c r="B306" s="133">
        <v>42622</v>
      </c>
      <c r="C306" s="106">
        <v>-0.14000000000000001</v>
      </c>
      <c r="D306" s="106">
        <v>-0.1</v>
      </c>
    </row>
    <row r="307" spans="2:4">
      <c r="B307" s="133">
        <v>42623</v>
      </c>
      <c r="C307" s="106">
        <v>-0.13</v>
      </c>
      <c r="D307" s="106">
        <v>-0.14000000000000001</v>
      </c>
    </row>
    <row r="308" spans="2:4">
      <c r="B308" s="133">
        <v>42624</v>
      </c>
      <c r="C308" s="106">
        <v>0.19</v>
      </c>
      <c r="D308" s="106">
        <v>-0.03</v>
      </c>
    </row>
    <row r="309" spans="2:4">
      <c r="B309" s="133">
        <v>42625</v>
      </c>
      <c r="C309" s="106">
        <v>0.01</v>
      </c>
      <c r="D309" s="106">
        <v>7.0000000000000007E-2</v>
      </c>
    </row>
    <row r="310" spans="2:4">
      <c r="B310" s="133">
        <v>42626</v>
      </c>
      <c r="C310" s="106">
        <v>0.09</v>
      </c>
      <c r="D310" s="106">
        <v>-0.01</v>
      </c>
    </row>
    <row r="311" spans="2:4">
      <c r="B311" s="133">
        <v>42627</v>
      </c>
      <c r="C311" s="106">
        <v>-0.09</v>
      </c>
      <c r="D311" s="106">
        <v>-0.11</v>
      </c>
    </row>
    <row r="312" spans="2:4">
      <c r="B312" s="133">
        <v>42628</v>
      </c>
      <c r="C312" s="106">
        <v>0.06</v>
      </c>
      <c r="D312" s="106">
        <v>0.01</v>
      </c>
    </row>
    <row r="313" spans="2:4">
      <c r="B313" s="133">
        <v>42629</v>
      </c>
      <c r="C313" s="106">
        <v>-0.02</v>
      </c>
      <c r="D313" s="106">
        <v>-0.14000000000000001</v>
      </c>
    </row>
    <row r="314" spans="2:4">
      <c r="B314" s="133">
        <v>42630</v>
      </c>
      <c r="C314" s="106">
        <v>-0.13</v>
      </c>
      <c r="D314" s="106">
        <v>0.12</v>
      </c>
    </row>
    <row r="315" spans="2:4">
      <c r="B315" s="133">
        <v>42631</v>
      </c>
      <c r="C315" s="106">
        <v>0.13</v>
      </c>
      <c r="D315" s="106">
        <v>-0.08</v>
      </c>
    </row>
    <row r="316" spans="2:4">
      <c r="B316" s="133">
        <v>42632</v>
      </c>
      <c r="C316" s="106">
        <v>-0.15</v>
      </c>
      <c r="D316" s="106">
        <v>0.08</v>
      </c>
    </row>
    <row r="317" spans="2:4">
      <c r="B317" s="133">
        <v>42633</v>
      </c>
      <c r="C317" s="106">
        <v>-0.04</v>
      </c>
      <c r="D317" s="106">
        <v>0.05</v>
      </c>
    </row>
    <row r="318" spans="2:4">
      <c r="B318" s="133">
        <v>42634</v>
      </c>
      <c r="C318" s="106">
        <v>0.01</v>
      </c>
      <c r="D318" s="106">
        <v>0.17</v>
      </c>
    </row>
    <row r="319" spans="2:4">
      <c r="B319" s="133">
        <v>42635</v>
      </c>
      <c r="C319" s="106">
        <v>-0.11</v>
      </c>
      <c r="D319" s="106">
        <v>-0.1</v>
      </c>
    </row>
    <row r="320" spans="2:4">
      <c r="B320" s="133">
        <v>42636</v>
      </c>
      <c r="C320" s="106">
        <v>-0.08</v>
      </c>
      <c r="D320" s="106">
        <v>0.19</v>
      </c>
    </row>
    <row r="321" spans="2:4">
      <c r="B321" s="133">
        <v>42637</v>
      </c>
      <c r="C321" s="106">
        <v>0.13</v>
      </c>
      <c r="D321" s="106">
        <v>0.08</v>
      </c>
    </row>
    <row r="322" spans="2:4">
      <c r="B322" s="133">
        <v>42638</v>
      </c>
      <c r="C322" s="106">
        <v>0.06</v>
      </c>
      <c r="D322" s="106">
        <v>-0.14000000000000001</v>
      </c>
    </row>
    <row r="323" spans="2:4">
      <c r="B323" s="133">
        <v>42639</v>
      </c>
      <c r="C323" s="106">
        <v>0.12</v>
      </c>
      <c r="D323" s="106">
        <v>0.08</v>
      </c>
    </row>
    <row r="324" spans="2:4">
      <c r="B324" s="133">
        <v>42640</v>
      </c>
      <c r="C324" s="106">
        <v>-0.12</v>
      </c>
      <c r="D324" s="106">
        <v>0.2</v>
      </c>
    </row>
    <row r="325" spans="2:4">
      <c r="B325" s="133">
        <v>42641</v>
      </c>
      <c r="C325" s="106">
        <v>0</v>
      </c>
      <c r="D325" s="106">
        <v>-0.02</v>
      </c>
    </row>
    <row r="326" spans="2:4">
      <c r="B326" s="133">
        <v>42642</v>
      </c>
      <c r="C326" s="106">
        <v>0.16</v>
      </c>
      <c r="D326" s="106">
        <v>7.0000000000000007E-2</v>
      </c>
    </row>
    <row r="327" spans="2:4">
      <c r="B327" s="133">
        <v>42643</v>
      </c>
      <c r="C327" s="106">
        <v>0.03</v>
      </c>
      <c r="D327" s="106">
        <v>0.17</v>
      </c>
    </row>
    <row r="328" spans="2:4">
      <c r="B328" s="133">
        <v>42644</v>
      </c>
      <c r="C328" s="106">
        <v>-7.0000000000000007E-2</v>
      </c>
      <c r="D328" s="106">
        <v>-0.03</v>
      </c>
    </row>
    <row r="329" spans="2:4">
      <c r="B329" s="133">
        <v>42645</v>
      </c>
      <c r="C329" s="106">
        <v>0.09</v>
      </c>
      <c r="D329" s="106">
        <v>-0.06</v>
      </c>
    </row>
    <row r="330" spans="2:4">
      <c r="B330" s="133">
        <v>42646</v>
      </c>
      <c r="C330" s="106">
        <v>-0.11</v>
      </c>
      <c r="D330" s="106">
        <v>0.05</v>
      </c>
    </row>
    <row r="331" spans="2:4">
      <c r="B331" s="133">
        <v>42647</v>
      </c>
      <c r="C331" s="106">
        <v>-7.0000000000000007E-2</v>
      </c>
      <c r="D331" s="106">
        <v>7.0000000000000007E-2</v>
      </c>
    </row>
    <row r="332" spans="2:4">
      <c r="B332" s="133">
        <v>42648</v>
      </c>
      <c r="C332" s="106">
        <v>-0.11</v>
      </c>
      <c r="D332" s="106">
        <v>-0.12</v>
      </c>
    </row>
    <row r="333" spans="2:4">
      <c r="B333" s="133">
        <v>42649</v>
      </c>
      <c r="C333" s="106">
        <v>-0.06</v>
      </c>
      <c r="D333" s="106">
        <v>0.08</v>
      </c>
    </row>
    <row r="334" spans="2:4">
      <c r="B334" s="133">
        <v>42650</v>
      </c>
      <c r="C334" s="106">
        <v>-0.1</v>
      </c>
      <c r="D334" s="106">
        <v>-0.13</v>
      </c>
    </row>
    <row r="335" spans="2:4">
      <c r="B335" s="133">
        <v>42651</v>
      </c>
      <c r="C335" s="106">
        <v>0.12</v>
      </c>
      <c r="D335" s="106">
        <v>-0.02</v>
      </c>
    </row>
    <row r="336" spans="2:4">
      <c r="B336" s="133">
        <v>42652</v>
      </c>
      <c r="C336" s="106">
        <v>0.19</v>
      </c>
      <c r="D336" s="106">
        <v>0.11</v>
      </c>
    </row>
    <row r="337" spans="2:4">
      <c r="B337" s="133">
        <v>42653</v>
      </c>
      <c r="C337" s="106">
        <v>-0.03</v>
      </c>
      <c r="D337" s="106">
        <v>0.19</v>
      </c>
    </row>
    <row r="338" spans="2:4">
      <c r="B338" s="133">
        <v>42654</v>
      </c>
      <c r="C338" s="106">
        <v>-0.1</v>
      </c>
      <c r="D338" s="106">
        <v>7.0000000000000007E-2</v>
      </c>
    </row>
    <row r="339" spans="2:4">
      <c r="B339" s="133">
        <v>42655</v>
      </c>
      <c r="C339" s="106">
        <v>0.08</v>
      </c>
      <c r="D339" s="106">
        <v>0.17</v>
      </c>
    </row>
    <row r="340" spans="2:4">
      <c r="B340" s="133">
        <v>42656</v>
      </c>
      <c r="C340" s="106">
        <v>-0.03</v>
      </c>
      <c r="D340" s="106">
        <v>-0.02</v>
      </c>
    </row>
    <row r="341" spans="2:4">
      <c r="B341" s="133">
        <v>42657</v>
      </c>
      <c r="C341" s="106">
        <v>-0.01</v>
      </c>
      <c r="D341" s="106">
        <v>-0.05</v>
      </c>
    </row>
    <row r="342" spans="2:4">
      <c r="B342" s="133">
        <v>42658</v>
      </c>
      <c r="C342" s="106">
        <v>-0.04</v>
      </c>
      <c r="D342" s="106">
        <v>0.14000000000000001</v>
      </c>
    </row>
    <row r="343" spans="2:4">
      <c r="B343" s="133">
        <v>42659</v>
      </c>
      <c r="C343" s="106">
        <v>-0.12</v>
      </c>
      <c r="D343" s="106">
        <v>7.0000000000000007E-2</v>
      </c>
    </row>
    <row r="344" spans="2:4">
      <c r="B344" s="133">
        <v>42660</v>
      </c>
      <c r="C344" s="106">
        <v>7.0000000000000007E-2</v>
      </c>
      <c r="D344" s="106">
        <v>0.01</v>
      </c>
    </row>
    <row r="345" spans="2:4">
      <c r="B345" s="133">
        <v>42661</v>
      </c>
      <c r="C345" s="106">
        <v>-0.11</v>
      </c>
      <c r="D345" s="106">
        <v>-0.05</v>
      </c>
    </row>
    <row r="346" spans="2:4">
      <c r="B346" s="133">
        <v>42662</v>
      </c>
      <c r="C346" s="106">
        <v>-0.08</v>
      </c>
      <c r="D346" s="106">
        <v>0.14000000000000001</v>
      </c>
    </row>
    <row r="347" spans="2:4">
      <c r="B347" s="133">
        <v>42663</v>
      </c>
      <c r="C347" s="106">
        <v>0.02</v>
      </c>
      <c r="D347" s="106">
        <v>0</v>
      </c>
    </row>
    <row r="348" spans="2:4">
      <c r="B348" s="133">
        <v>42664</v>
      </c>
      <c r="C348" s="106">
        <v>-0.01</v>
      </c>
      <c r="D348" s="106">
        <v>0.14000000000000001</v>
      </c>
    </row>
    <row r="349" spans="2:4">
      <c r="B349" s="133">
        <v>42665</v>
      </c>
      <c r="C349" s="106">
        <v>0.02</v>
      </c>
      <c r="D349" s="106">
        <v>0.05</v>
      </c>
    </row>
    <row r="350" spans="2:4">
      <c r="B350" s="133">
        <v>42666</v>
      </c>
      <c r="C350" s="106">
        <v>0.12</v>
      </c>
      <c r="D350" s="106">
        <v>-0.06</v>
      </c>
    </row>
    <row r="351" spans="2:4">
      <c r="B351" s="133">
        <v>42667</v>
      </c>
      <c r="C351" s="106">
        <v>0.06</v>
      </c>
      <c r="D351" s="106">
        <v>0.14000000000000001</v>
      </c>
    </row>
    <row r="352" spans="2:4">
      <c r="B352" s="133">
        <v>42668</v>
      </c>
      <c r="C352" s="106">
        <v>-0.03</v>
      </c>
      <c r="D352" s="106">
        <v>0.15</v>
      </c>
    </row>
    <row r="353" spans="2:4">
      <c r="B353" s="133">
        <v>42669</v>
      </c>
      <c r="C353" s="106">
        <v>-0.14000000000000001</v>
      </c>
      <c r="D353" s="106">
        <v>0</v>
      </c>
    </row>
    <row r="354" spans="2:4">
      <c r="B354" s="133">
        <v>42670</v>
      </c>
      <c r="C354" s="106">
        <v>-0.14000000000000001</v>
      </c>
      <c r="D354" s="106">
        <v>0.15</v>
      </c>
    </row>
    <row r="355" spans="2:4">
      <c r="B355" s="133">
        <v>42671</v>
      </c>
      <c r="C355" s="106">
        <v>-0.12</v>
      </c>
      <c r="D355" s="106">
        <v>0.11</v>
      </c>
    </row>
    <row r="356" spans="2:4">
      <c r="B356" s="133">
        <v>42672</v>
      </c>
      <c r="C356" s="106">
        <v>-0.11</v>
      </c>
      <c r="D356" s="106">
        <v>0.01</v>
      </c>
    </row>
    <row r="357" spans="2:4">
      <c r="B357" s="133">
        <v>42673</v>
      </c>
      <c r="C357" s="106">
        <v>0.03</v>
      </c>
      <c r="D357" s="106">
        <v>-0.08</v>
      </c>
    </row>
    <row r="358" spans="2:4">
      <c r="B358" s="133">
        <v>42674</v>
      </c>
      <c r="C358" s="106">
        <v>0.13</v>
      </c>
      <c r="D358" s="106">
        <v>0.13</v>
      </c>
    </row>
    <row r="359" spans="2:4">
      <c r="B359" s="133">
        <v>42675</v>
      </c>
      <c r="C359" s="106">
        <v>0.2</v>
      </c>
      <c r="D359" s="106">
        <v>0</v>
      </c>
    </row>
    <row r="360" spans="2:4">
      <c r="B360" s="133">
        <v>42676</v>
      </c>
      <c r="C360" s="106">
        <v>0.11</v>
      </c>
      <c r="D360" s="106">
        <v>0.06</v>
      </c>
    </row>
    <row r="361" spans="2:4">
      <c r="B361" s="133">
        <v>42677</v>
      </c>
      <c r="C361" s="106">
        <v>0.19</v>
      </c>
      <c r="D361" s="106">
        <v>0.14000000000000001</v>
      </c>
    </row>
    <row r="362" spans="2:4">
      <c r="B362" s="133">
        <v>42678</v>
      </c>
      <c r="C362" s="106">
        <v>0.04</v>
      </c>
      <c r="D362" s="106">
        <v>-0.1</v>
      </c>
    </row>
    <row r="363" spans="2:4">
      <c r="B363" s="133">
        <v>42679</v>
      </c>
      <c r="C363" s="106">
        <v>-0.02</v>
      </c>
      <c r="D363" s="106">
        <v>-0.03</v>
      </c>
    </row>
    <row r="364" spans="2:4">
      <c r="B364" s="133">
        <v>42680</v>
      </c>
      <c r="C364" s="106">
        <v>0.17</v>
      </c>
      <c r="D364" s="106">
        <v>0.01</v>
      </c>
    </row>
    <row r="365" spans="2:4">
      <c r="B365" s="133">
        <v>42681</v>
      </c>
      <c r="C365" s="106">
        <v>-0.01</v>
      </c>
      <c r="D365" s="106">
        <v>-0.03</v>
      </c>
    </row>
    <row r="366" spans="2:4">
      <c r="B366" s="133">
        <v>42682</v>
      </c>
      <c r="C366" s="106">
        <v>0.13</v>
      </c>
      <c r="D366" s="106">
        <v>7.0000000000000007E-2</v>
      </c>
    </row>
    <row r="367" spans="2:4">
      <c r="B367" s="133">
        <v>42683</v>
      </c>
      <c r="C367" s="106">
        <v>7.0000000000000007E-2</v>
      </c>
      <c r="D367" s="106">
        <v>0.14000000000000001</v>
      </c>
    </row>
    <row r="368" spans="2:4">
      <c r="B368" s="133">
        <v>42684</v>
      </c>
      <c r="C368" s="106">
        <v>0.08</v>
      </c>
      <c r="D368" s="106">
        <v>-0.14000000000000001</v>
      </c>
    </row>
    <row r="369" spans="2:4">
      <c r="B369" s="133">
        <v>42685</v>
      </c>
      <c r="C369" s="106">
        <v>-0.06</v>
      </c>
      <c r="D369" s="106">
        <v>0.03</v>
      </c>
    </row>
    <row r="370" spans="2:4">
      <c r="B370" s="133">
        <v>42686</v>
      </c>
      <c r="C370" s="106">
        <v>7.0000000000000007E-2</v>
      </c>
      <c r="D370" s="106">
        <v>-0.02</v>
      </c>
    </row>
    <row r="371" spans="2:4">
      <c r="B371" s="133">
        <v>42687</v>
      </c>
      <c r="C371" s="106">
        <v>0.12</v>
      </c>
      <c r="D371" s="106">
        <v>-0.11</v>
      </c>
    </row>
    <row r="372" spans="2:4">
      <c r="B372" s="133">
        <v>42688</v>
      </c>
      <c r="C372" s="106">
        <v>-0.01</v>
      </c>
      <c r="D372" s="106">
        <v>0.16</v>
      </c>
    </row>
    <row r="373" spans="2:4">
      <c r="B373" s="133">
        <v>42689</v>
      </c>
      <c r="C373" s="106">
        <v>0.06</v>
      </c>
      <c r="D373" s="106">
        <v>0.05</v>
      </c>
    </row>
    <row r="374" spans="2:4">
      <c r="B374" s="133">
        <v>42690</v>
      </c>
      <c r="C374" s="106">
        <v>-0.06</v>
      </c>
      <c r="D374" s="106">
        <v>0.16</v>
      </c>
    </row>
    <row r="375" spans="2:4">
      <c r="B375" s="133">
        <v>42691</v>
      </c>
      <c r="C375" s="106">
        <v>-0.11</v>
      </c>
      <c r="D375" s="106">
        <v>0.06</v>
      </c>
    </row>
    <row r="376" spans="2:4">
      <c r="B376" s="133">
        <v>42692</v>
      </c>
      <c r="C376" s="106">
        <v>-0.03</v>
      </c>
      <c r="D376" s="106">
        <v>0.03</v>
      </c>
    </row>
    <row r="377" spans="2:4">
      <c r="B377" s="133">
        <v>42693</v>
      </c>
      <c r="C377" s="106">
        <v>0.15</v>
      </c>
      <c r="D377" s="106">
        <v>0.1</v>
      </c>
    </row>
    <row r="378" spans="2:4">
      <c r="B378" s="133">
        <v>42694</v>
      </c>
      <c r="C378" s="106">
        <v>-0.13</v>
      </c>
      <c r="D378" s="106">
        <v>0</v>
      </c>
    </row>
    <row r="379" spans="2:4">
      <c r="B379" s="133">
        <v>42695</v>
      </c>
      <c r="C379" s="106">
        <v>-0.1</v>
      </c>
      <c r="D379" s="106">
        <v>0.12</v>
      </c>
    </row>
    <row r="380" spans="2:4">
      <c r="B380" s="133">
        <v>42696</v>
      </c>
      <c r="C380" s="106">
        <v>-0.02</v>
      </c>
      <c r="D380" s="106">
        <v>-0.05</v>
      </c>
    </row>
    <row r="381" spans="2:4">
      <c r="B381" s="133">
        <v>42697</v>
      </c>
      <c r="C381" s="106">
        <v>0.09</v>
      </c>
      <c r="D381" s="106">
        <v>0.08</v>
      </c>
    </row>
    <row r="382" spans="2:4">
      <c r="B382" s="133">
        <v>42698</v>
      </c>
      <c r="C382" s="106">
        <v>0.09</v>
      </c>
      <c r="D382" s="106">
        <v>-0.11</v>
      </c>
    </row>
    <row r="383" spans="2:4">
      <c r="B383" s="133">
        <v>42699</v>
      </c>
      <c r="C383" s="106">
        <v>0.1</v>
      </c>
      <c r="D383" s="106">
        <v>0.02</v>
      </c>
    </row>
    <row r="384" spans="2:4">
      <c r="B384" s="133">
        <v>42700</v>
      </c>
      <c r="C384" s="106">
        <v>0.16</v>
      </c>
      <c r="D384" s="106">
        <v>-0.13</v>
      </c>
    </row>
    <row r="385" spans="2:4">
      <c r="B385" s="133">
        <v>42701</v>
      </c>
      <c r="C385" s="106">
        <v>-0.11</v>
      </c>
      <c r="D385" s="106">
        <v>0.06</v>
      </c>
    </row>
    <row r="386" spans="2:4">
      <c r="B386" s="133">
        <v>42702</v>
      </c>
      <c r="C386" s="106">
        <v>-0.11</v>
      </c>
      <c r="D386" s="106">
        <v>0.02</v>
      </c>
    </row>
    <row r="387" spans="2:4">
      <c r="B387" s="133">
        <v>42703</v>
      </c>
      <c r="C387" s="106">
        <v>0.14000000000000001</v>
      </c>
      <c r="D387" s="106">
        <v>-7.0000000000000007E-2</v>
      </c>
    </row>
    <row r="388" spans="2:4">
      <c r="B388" s="133">
        <v>42704</v>
      </c>
      <c r="C388" s="106">
        <v>0.02</v>
      </c>
      <c r="D388" s="106">
        <v>0</v>
      </c>
    </row>
    <row r="389" spans="2:4">
      <c r="B389" s="133">
        <v>42705</v>
      </c>
      <c r="C389" s="106">
        <v>0.01</v>
      </c>
      <c r="D389" s="106">
        <v>0.06</v>
      </c>
    </row>
    <row r="390" spans="2:4">
      <c r="B390" s="133">
        <v>42706</v>
      </c>
      <c r="C390" s="106">
        <v>0.06</v>
      </c>
      <c r="D390" s="106">
        <v>0.06</v>
      </c>
    </row>
    <row r="391" spans="2:4">
      <c r="B391" s="133">
        <v>42707</v>
      </c>
      <c r="C391" s="106">
        <v>0.09</v>
      </c>
      <c r="D391" s="106">
        <v>-0.04</v>
      </c>
    </row>
    <row r="392" spans="2:4">
      <c r="B392" s="133">
        <v>42708</v>
      </c>
      <c r="C392" s="106">
        <v>-0.12</v>
      </c>
      <c r="D392" s="106">
        <v>0.02</v>
      </c>
    </row>
    <row r="393" spans="2:4">
      <c r="B393" s="133">
        <v>42709</v>
      </c>
      <c r="C393" s="106">
        <v>-0.02</v>
      </c>
      <c r="D393" s="106">
        <v>-0.12</v>
      </c>
    </row>
    <row r="394" spans="2:4">
      <c r="B394" s="133">
        <v>42710</v>
      </c>
      <c r="C394" s="106">
        <v>-0.1</v>
      </c>
      <c r="D394" s="106">
        <v>0.2</v>
      </c>
    </row>
    <row r="395" spans="2:4">
      <c r="B395" s="133">
        <v>42711</v>
      </c>
      <c r="C395" s="106">
        <v>0.09</v>
      </c>
      <c r="D395" s="106">
        <v>-0.15</v>
      </c>
    </row>
    <row r="396" spans="2:4">
      <c r="B396" s="133">
        <v>42712</v>
      </c>
      <c r="C396" s="106">
        <v>-0.1</v>
      </c>
      <c r="D396" s="106">
        <v>0.05</v>
      </c>
    </row>
    <row r="397" spans="2:4">
      <c r="B397" s="133">
        <v>42713</v>
      </c>
      <c r="C397" s="106">
        <v>-0.13</v>
      </c>
      <c r="D397" s="106">
        <v>-0.05</v>
      </c>
    </row>
    <row r="398" spans="2:4">
      <c r="B398" s="133">
        <v>42714</v>
      </c>
      <c r="C398" s="106">
        <v>7.0000000000000007E-2</v>
      </c>
      <c r="D398" s="106">
        <v>0.06</v>
      </c>
    </row>
    <row r="399" spans="2:4">
      <c r="B399" s="133">
        <v>42715</v>
      </c>
      <c r="C399" s="106">
        <v>-0.14000000000000001</v>
      </c>
      <c r="D399" s="106">
        <v>0</v>
      </c>
    </row>
    <row r="400" spans="2:4">
      <c r="B400" s="133">
        <v>42716</v>
      </c>
      <c r="C400" s="106">
        <v>-7.0000000000000007E-2</v>
      </c>
      <c r="D400" s="106">
        <v>-0.05</v>
      </c>
    </row>
    <row r="401" spans="2:4">
      <c r="B401" s="133">
        <v>42717</v>
      </c>
      <c r="C401" s="106">
        <v>0.14000000000000001</v>
      </c>
      <c r="D401" s="106">
        <v>0.04</v>
      </c>
    </row>
    <row r="402" spans="2:4">
      <c r="B402" s="133">
        <v>42718</v>
      </c>
      <c r="C402" s="106">
        <v>-0.06</v>
      </c>
      <c r="D402" s="106">
        <v>-0.01</v>
      </c>
    </row>
    <row r="403" spans="2:4">
      <c r="B403" s="133">
        <v>42719</v>
      </c>
      <c r="C403" s="106">
        <v>-0.04</v>
      </c>
      <c r="D403" s="106">
        <v>0.02</v>
      </c>
    </row>
    <row r="404" spans="2:4">
      <c r="B404" s="133">
        <v>42720</v>
      </c>
      <c r="C404" s="106">
        <v>0.13</v>
      </c>
      <c r="D404" s="106">
        <v>0.16</v>
      </c>
    </row>
    <row r="405" spans="2:4">
      <c r="B405" s="133">
        <v>42721</v>
      </c>
      <c r="C405" s="106">
        <v>0.2</v>
      </c>
      <c r="D405" s="106">
        <v>0.16</v>
      </c>
    </row>
    <row r="406" spans="2:4">
      <c r="B406" s="133">
        <v>42722</v>
      </c>
      <c r="C406" s="106">
        <v>0.08</v>
      </c>
      <c r="D406" s="106">
        <v>7.0000000000000007E-2</v>
      </c>
    </row>
    <row r="407" spans="2:4">
      <c r="B407" s="133">
        <v>42723</v>
      </c>
      <c r="C407" s="106">
        <v>0.05</v>
      </c>
      <c r="D407" s="106">
        <v>0.01</v>
      </c>
    </row>
    <row r="408" spans="2:4">
      <c r="B408" s="133">
        <v>42724</v>
      </c>
      <c r="C408" s="106">
        <v>0.17</v>
      </c>
      <c r="D408" s="106">
        <v>0.13</v>
      </c>
    </row>
    <row r="409" spans="2:4">
      <c r="B409" s="133">
        <v>42725</v>
      </c>
      <c r="C409" s="106">
        <v>-0.12</v>
      </c>
      <c r="D409" s="106">
        <v>0.13</v>
      </c>
    </row>
    <row r="410" spans="2:4">
      <c r="B410" s="133">
        <v>42726</v>
      </c>
      <c r="C410" s="106">
        <v>-0.03</v>
      </c>
      <c r="D410" s="106">
        <v>-0.1</v>
      </c>
    </row>
    <row r="411" spans="2:4">
      <c r="B411" s="133">
        <v>42727</v>
      </c>
      <c r="C411" s="106">
        <v>-0.11</v>
      </c>
      <c r="D411" s="106">
        <v>0.06</v>
      </c>
    </row>
    <row r="412" spans="2:4">
      <c r="B412" s="133">
        <v>42728</v>
      </c>
      <c r="C412" s="106">
        <v>-0.14000000000000001</v>
      </c>
      <c r="D412" s="106">
        <v>-0.06</v>
      </c>
    </row>
    <row r="413" spans="2:4">
      <c r="B413" s="133">
        <v>42729</v>
      </c>
      <c r="C413" s="106">
        <v>0</v>
      </c>
      <c r="D413" s="106">
        <v>-0.15</v>
      </c>
    </row>
    <row r="414" spans="2:4">
      <c r="B414" s="133">
        <v>42730</v>
      </c>
      <c r="C414" s="106">
        <v>-0.12</v>
      </c>
      <c r="D414" s="106">
        <v>-0.1</v>
      </c>
    </row>
    <row r="415" spans="2:4">
      <c r="B415" s="133">
        <v>42731</v>
      </c>
      <c r="C415" s="106">
        <v>0</v>
      </c>
      <c r="D415" s="106">
        <v>-0.05</v>
      </c>
    </row>
    <row r="416" spans="2:4">
      <c r="B416" s="133">
        <v>42732</v>
      </c>
      <c r="C416" s="106">
        <v>-0.03</v>
      </c>
      <c r="D416" s="106">
        <v>0.1</v>
      </c>
    </row>
    <row r="417" spans="2:4">
      <c r="B417" s="133">
        <v>42733</v>
      </c>
      <c r="C417" s="106">
        <v>0.11</v>
      </c>
      <c r="D417" s="106">
        <v>0.08</v>
      </c>
    </row>
    <row r="418" spans="2:4">
      <c r="B418" s="133">
        <v>42734</v>
      </c>
      <c r="C418" s="106">
        <v>0.09</v>
      </c>
      <c r="D418" s="106">
        <v>0.1</v>
      </c>
    </row>
    <row r="419" spans="2:4">
      <c r="B419" s="133">
        <v>42735</v>
      </c>
      <c r="C419" s="106">
        <v>7.0000000000000007E-2</v>
      </c>
      <c r="D419" s="106">
        <v>-7.0000000000000007E-2</v>
      </c>
    </row>
    <row r="420" spans="2:4">
      <c r="B420" s="133">
        <v>42736</v>
      </c>
      <c r="C420" s="106">
        <v>-0.15</v>
      </c>
      <c r="D420" s="106">
        <v>0.08</v>
      </c>
    </row>
    <row r="421" spans="2:4">
      <c r="B421" s="133">
        <v>42737</v>
      </c>
      <c r="C421" s="106">
        <v>-0.08</v>
      </c>
      <c r="D421" s="106">
        <v>0.02</v>
      </c>
    </row>
    <row r="422" spans="2:4">
      <c r="B422" s="133">
        <v>42738</v>
      </c>
      <c r="C422" s="106">
        <v>-0.09</v>
      </c>
      <c r="D422" s="106">
        <v>-0.04</v>
      </c>
    </row>
    <row r="423" spans="2:4">
      <c r="B423" s="133">
        <v>42739</v>
      </c>
      <c r="C423" s="106">
        <v>0.2</v>
      </c>
      <c r="D423" s="106">
        <v>0.06</v>
      </c>
    </row>
    <row r="424" spans="2:4">
      <c r="B424" s="133">
        <v>42740</v>
      </c>
      <c r="C424" s="106">
        <v>0.16</v>
      </c>
      <c r="D424" s="106">
        <v>-0.14000000000000001</v>
      </c>
    </row>
    <row r="425" spans="2:4">
      <c r="B425" s="133">
        <v>42741</v>
      </c>
      <c r="C425" s="106">
        <v>0.15</v>
      </c>
      <c r="D425" s="106">
        <v>-0.15</v>
      </c>
    </row>
    <row r="426" spans="2:4">
      <c r="B426" s="133">
        <v>42742</v>
      </c>
      <c r="C426" s="106">
        <v>0.14000000000000001</v>
      </c>
      <c r="D426" s="106">
        <v>0.02</v>
      </c>
    </row>
    <row r="427" spans="2:4">
      <c r="B427" s="133">
        <v>42743</v>
      </c>
      <c r="C427" s="106">
        <v>0.08</v>
      </c>
      <c r="D427" s="106">
        <v>-0.03</v>
      </c>
    </row>
    <row r="428" spans="2:4">
      <c r="B428" s="133">
        <v>42744</v>
      </c>
      <c r="C428" s="106">
        <v>0.04</v>
      </c>
      <c r="D428" s="106">
        <v>0.13</v>
      </c>
    </row>
    <row r="429" spans="2:4">
      <c r="B429" s="133">
        <v>42745</v>
      </c>
      <c r="C429" s="106">
        <v>0.06</v>
      </c>
      <c r="D429" s="106">
        <v>0.1</v>
      </c>
    </row>
    <row r="430" spans="2:4">
      <c r="B430" s="133">
        <v>42746</v>
      </c>
      <c r="C430" s="106">
        <v>0</v>
      </c>
      <c r="D430" s="106">
        <v>0</v>
      </c>
    </row>
    <row r="431" spans="2:4">
      <c r="B431" s="133">
        <v>42747</v>
      </c>
      <c r="C431" s="106">
        <v>7.0000000000000007E-2</v>
      </c>
      <c r="D431" s="106">
        <v>-0.14000000000000001</v>
      </c>
    </row>
    <row r="432" spans="2:4">
      <c r="B432" s="133">
        <v>42748</v>
      </c>
      <c r="C432" s="106">
        <v>0.03</v>
      </c>
      <c r="D432" s="106">
        <v>-0.15</v>
      </c>
    </row>
    <row r="433" spans="2:4">
      <c r="B433" s="133">
        <v>42749</v>
      </c>
      <c r="C433" s="106">
        <v>-0.14000000000000001</v>
      </c>
      <c r="D433" s="106">
        <v>7.0000000000000007E-2</v>
      </c>
    </row>
    <row r="434" spans="2:4">
      <c r="B434" s="133">
        <v>42750</v>
      </c>
      <c r="C434" s="106">
        <v>-0.12</v>
      </c>
      <c r="D434" s="106">
        <v>0.15</v>
      </c>
    </row>
    <row r="435" spans="2:4">
      <c r="B435" s="133">
        <v>42751</v>
      </c>
      <c r="C435" s="106">
        <v>-0.06</v>
      </c>
      <c r="D435" s="106">
        <v>0.12</v>
      </c>
    </row>
    <row r="436" spans="2:4">
      <c r="B436" s="133">
        <v>42752</v>
      </c>
      <c r="C436" s="106">
        <v>-0.02</v>
      </c>
      <c r="D436" s="106">
        <v>-0.11</v>
      </c>
    </row>
    <row r="437" spans="2:4">
      <c r="B437" s="133">
        <v>42753</v>
      </c>
      <c r="C437" s="106">
        <v>-0.12</v>
      </c>
      <c r="D437" s="106">
        <v>0.09</v>
      </c>
    </row>
    <row r="438" spans="2:4">
      <c r="B438" s="133">
        <v>42754</v>
      </c>
      <c r="C438" s="106">
        <v>-0.09</v>
      </c>
      <c r="D438" s="106">
        <v>0.02</v>
      </c>
    </row>
    <row r="439" spans="2:4">
      <c r="B439" s="133">
        <v>42755</v>
      </c>
      <c r="C439" s="106">
        <v>-0.11</v>
      </c>
      <c r="D439" s="106">
        <v>0.05</v>
      </c>
    </row>
    <row r="440" spans="2:4">
      <c r="B440" s="133">
        <v>42756</v>
      </c>
      <c r="C440" s="106">
        <v>0.09</v>
      </c>
      <c r="D440" s="106">
        <v>0.14000000000000001</v>
      </c>
    </row>
    <row r="441" spans="2:4">
      <c r="B441" s="133">
        <v>42757</v>
      </c>
      <c r="C441" s="106">
        <v>0.01</v>
      </c>
      <c r="D441" s="106">
        <v>0.03</v>
      </c>
    </row>
    <row r="442" spans="2:4">
      <c r="B442" s="133">
        <v>42758</v>
      </c>
      <c r="C442" s="106">
        <v>0.12</v>
      </c>
      <c r="D442" s="106">
        <v>7.0000000000000007E-2</v>
      </c>
    </row>
    <row r="443" spans="2:4">
      <c r="B443" s="133">
        <v>42759</v>
      </c>
      <c r="C443" s="106">
        <v>-0.04</v>
      </c>
      <c r="D443" s="106">
        <v>0</v>
      </c>
    </row>
    <row r="444" spans="2:4">
      <c r="B444" s="133">
        <v>42760</v>
      </c>
      <c r="C444" s="106">
        <v>0.12</v>
      </c>
      <c r="D444" s="106">
        <v>-0.02</v>
      </c>
    </row>
    <row r="445" spans="2:4">
      <c r="B445" s="133">
        <v>42761</v>
      </c>
      <c r="C445" s="106">
        <v>0.2</v>
      </c>
      <c r="D445" s="106">
        <v>0.19</v>
      </c>
    </row>
    <row r="446" spans="2:4">
      <c r="B446" s="133">
        <v>42762</v>
      </c>
      <c r="C446" s="106">
        <v>0.03</v>
      </c>
      <c r="D446" s="106">
        <v>-0.01</v>
      </c>
    </row>
    <row r="447" spans="2:4">
      <c r="B447" s="133">
        <v>42763</v>
      </c>
      <c r="C447" s="106">
        <v>0.11</v>
      </c>
      <c r="D447" s="106">
        <v>0.04</v>
      </c>
    </row>
    <row r="448" spans="2:4">
      <c r="B448" s="133">
        <v>42764</v>
      </c>
      <c r="C448" s="106">
        <v>0.14000000000000001</v>
      </c>
      <c r="D448" s="106">
        <v>0.04</v>
      </c>
    </row>
    <row r="449" spans="2:4">
      <c r="B449" s="133">
        <v>42765</v>
      </c>
      <c r="C449" s="106">
        <v>-0.09</v>
      </c>
      <c r="D449" s="106">
        <v>0.05</v>
      </c>
    </row>
    <row r="450" spans="2:4">
      <c r="B450" s="133">
        <v>42766</v>
      </c>
      <c r="C450" s="106">
        <v>-0.01</v>
      </c>
      <c r="D450" s="106">
        <v>-0.14000000000000001</v>
      </c>
    </row>
    <row r="451" spans="2:4">
      <c r="B451" s="133">
        <v>42767</v>
      </c>
      <c r="C451" s="106">
        <v>0.17</v>
      </c>
      <c r="D451" s="106">
        <v>7.0000000000000007E-2</v>
      </c>
    </row>
    <row r="452" spans="2:4">
      <c r="B452" s="133">
        <v>42768</v>
      </c>
      <c r="C452" s="106">
        <v>-0.05</v>
      </c>
      <c r="D452" s="106">
        <v>-0.03</v>
      </c>
    </row>
    <row r="453" spans="2:4">
      <c r="B453" s="133">
        <v>42769</v>
      </c>
      <c r="C453" s="106">
        <v>0.01</v>
      </c>
      <c r="D453" s="106">
        <v>0.1</v>
      </c>
    </row>
    <row r="454" spans="2:4">
      <c r="B454" s="133">
        <v>42770</v>
      </c>
      <c r="C454" s="106">
        <v>-0.02</v>
      </c>
      <c r="D454" s="106">
        <v>-0.1</v>
      </c>
    </row>
    <row r="455" spans="2:4">
      <c r="B455" s="133">
        <v>42771</v>
      </c>
      <c r="C455" s="106">
        <v>-7.0000000000000007E-2</v>
      </c>
      <c r="D455" s="106">
        <v>0</v>
      </c>
    </row>
    <row r="456" spans="2:4">
      <c r="B456" s="133">
        <v>42772</v>
      </c>
      <c r="C456" s="106">
        <v>0.09</v>
      </c>
      <c r="D456" s="106">
        <v>-0.15</v>
      </c>
    </row>
    <row r="457" spans="2:4">
      <c r="B457" s="133">
        <v>42773</v>
      </c>
      <c r="C457" s="106">
        <v>-0.01</v>
      </c>
      <c r="D457" s="106">
        <v>-0.02</v>
      </c>
    </row>
    <row r="458" spans="2:4">
      <c r="B458" s="133">
        <v>42774</v>
      </c>
      <c r="C458" s="106">
        <v>0.16</v>
      </c>
      <c r="D458" s="106">
        <v>0.03</v>
      </c>
    </row>
    <row r="459" spans="2:4">
      <c r="B459" s="133">
        <v>42775</v>
      </c>
      <c r="C459" s="106">
        <v>0.06</v>
      </c>
      <c r="D459" s="106">
        <v>0.2</v>
      </c>
    </row>
    <row r="460" spans="2:4">
      <c r="B460" s="133">
        <v>42776</v>
      </c>
      <c r="C460" s="106">
        <v>0.1</v>
      </c>
      <c r="D460" s="106">
        <v>0.17</v>
      </c>
    </row>
    <row r="461" spans="2:4">
      <c r="B461" s="133">
        <v>42777</v>
      </c>
      <c r="C461" s="106">
        <v>-0.03</v>
      </c>
      <c r="D461" s="106">
        <v>-0.13</v>
      </c>
    </row>
    <row r="462" spans="2:4">
      <c r="B462" s="133">
        <v>42778</v>
      </c>
      <c r="C462" s="106">
        <v>0.04</v>
      </c>
      <c r="D462" s="106">
        <v>0.09</v>
      </c>
    </row>
    <row r="463" spans="2:4">
      <c r="B463" s="133">
        <v>42779</v>
      </c>
      <c r="C463" s="106">
        <v>0.06</v>
      </c>
      <c r="D463" s="106">
        <v>0.08</v>
      </c>
    </row>
    <row r="464" spans="2:4">
      <c r="B464" s="133">
        <v>42780</v>
      </c>
      <c r="C464" s="106">
        <v>-0.02</v>
      </c>
      <c r="D464" s="106">
        <v>0.05</v>
      </c>
    </row>
    <row r="465" spans="2:4">
      <c r="B465" s="133">
        <v>42781</v>
      </c>
      <c r="C465" s="106">
        <v>0</v>
      </c>
      <c r="D465" s="106">
        <v>-0.02</v>
      </c>
    </row>
    <row r="466" spans="2:4">
      <c r="B466" s="133">
        <v>42782</v>
      </c>
      <c r="C466" s="106">
        <v>0.08</v>
      </c>
      <c r="D466" s="106">
        <v>-0.09</v>
      </c>
    </row>
    <row r="467" spans="2:4">
      <c r="B467" s="133">
        <v>42783</v>
      </c>
      <c r="C467" s="106">
        <v>-0.02</v>
      </c>
      <c r="D467" s="106">
        <v>0.13</v>
      </c>
    </row>
    <row r="468" spans="2:4">
      <c r="B468" s="133">
        <v>42784</v>
      </c>
      <c r="C468" s="106">
        <v>-0.06</v>
      </c>
      <c r="D468" s="106">
        <v>-0.06</v>
      </c>
    </row>
    <row r="469" spans="2:4">
      <c r="B469" s="133">
        <v>42785</v>
      </c>
      <c r="C469" s="106">
        <v>-0.09</v>
      </c>
      <c r="D469" s="106">
        <v>0.01</v>
      </c>
    </row>
    <row r="470" spans="2:4">
      <c r="B470" s="133">
        <v>42786</v>
      </c>
      <c r="C470" s="106">
        <v>0.18</v>
      </c>
      <c r="D470" s="106">
        <v>-0.05</v>
      </c>
    </row>
    <row r="471" spans="2:4">
      <c r="B471" s="133">
        <v>42787</v>
      </c>
      <c r="C471" s="106">
        <v>0.13</v>
      </c>
      <c r="D471" s="106">
        <v>0.12</v>
      </c>
    </row>
    <row r="472" spans="2:4">
      <c r="B472" s="133">
        <v>42788</v>
      </c>
      <c r="C472" s="106">
        <v>0.18</v>
      </c>
      <c r="D472" s="106">
        <v>0.06</v>
      </c>
    </row>
    <row r="473" spans="2:4">
      <c r="B473" s="133">
        <v>42789</v>
      </c>
      <c r="C473" s="106">
        <v>7.0000000000000007E-2</v>
      </c>
      <c r="D473" s="106">
        <v>-0.15</v>
      </c>
    </row>
    <row r="474" spans="2:4">
      <c r="B474" s="133">
        <v>42790</v>
      </c>
      <c r="C474" s="106">
        <v>-0.13</v>
      </c>
      <c r="D474" s="106">
        <v>-0.01</v>
      </c>
    </row>
    <row r="475" spans="2:4">
      <c r="B475" s="133">
        <v>42791</v>
      </c>
      <c r="C475" s="106">
        <v>0.09</v>
      </c>
      <c r="D475" s="106">
        <v>0.18</v>
      </c>
    </row>
    <row r="476" spans="2:4">
      <c r="B476" s="133">
        <v>42792</v>
      </c>
      <c r="C476" s="106">
        <v>-0.05</v>
      </c>
      <c r="D476" s="106">
        <v>0.11</v>
      </c>
    </row>
    <row r="477" spans="2:4">
      <c r="B477" s="133">
        <v>42793</v>
      </c>
      <c r="C477" s="106">
        <v>0.01</v>
      </c>
      <c r="D477" s="106">
        <v>0.12</v>
      </c>
    </row>
    <row r="478" spans="2:4">
      <c r="B478" s="133">
        <v>42794</v>
      </c>
      <c r="C478" s="106">
        <v>0.02</v>
      </c>
      <c r="D478" s="106">
        <v>-0.06</v>
      </c>
    </row>
    <row r="479" spans="2:4">
      <c r="B479" s="133">
        <v>42795</v>
      </c>
      <c r="C479" s="106">
        <v>-0.05</v>
      </c>
      <c r="D479" s="106">
        <v>7.0000000000000007E-2</v>
      </c>
    </row>
    <row r="480" spans="2:4">
      <c r="B480" s="133">
        <v>42796</v>
      </c>
      <c r="C480" s="106">
        <v>0</v>
      </c>
      <c r="D480" s="106">
        <v>-7.0000000000000007E-2</v>
      </c>
    </row>
    <row r="481" spans="2:4">
      <c r="B481" s="133">
        <v>42797</v>
      </c>
      <c r="C481" s="106">
        <v>-0.02</v>
      </c>
      <c r="D481" s="106">
        <v>-0.1</v>
      </c>
    </row>
    <row r="482" spans="2:4">
      <c r="B482" s="133">
        <v>42798</v>
      </c>
      <c r="C482" s="106">
        <v>-0.09</v>
      </c>
      <c r="D482" s="106">
        <v>0.14000000000000001</v>
      </c>
    </row>
    <row r="483" spans="2:4">
      <c r="B483" s="133">
        <v>42799</v>
      </c>
      <c r="C483" s="106">
        <v>-0.04</v>
      </c>
      <c r="D483" s="106">
        <v>0.04</v>
      </c>
    </row>
    <row r="484" spans="2:4">
      <c r="B484" s="133">
        <v>42800</v>
      </c>
      <c r="C484" s="106">
        <v>7.0000000000000007E-2</v>
      </c>
      <c r="D484" s="106">
        <v>-0.14000000000000001</v>
      </c>
    </row>
    <row r="485" spans="2:4">
      <c r="B485" s="133">
        <v>42801</v>
      </c>
      <c r="C485" s="106">
        <v>0.12</v>
      </c>
      <c r="D485" s="106">
        <v>0.2</v>
      </c>
    </row>
    <row r="486" spans="2:4">
      <c r="B486" s="133">
        <v>42802</v>
      </c>
      <c r="C486" s="106">
        <v>0</v>
      </c>
      <c r="D486" s="106">
        <v>0.02</v>
      </c>
    </row>
    <row r="487" spans="2:4">
      <c r="B487" s="133">
        <v>42803</v>
      </c>
      <c r="C487" s="106">
        <v>-0.08</v>
      </c>
      <c r="D487" s="106">
        <v>7.0000000000000007E-2</v>
      </c>
    </row>
    <row r="488" spans="2:4">
      <c r="B488" s="133">
        <v>42804</v>
      </c>
      <c r="C488" s="106">
        <v>0.17</v>
      </c>
      <c r="D488" s="106">
        <v>0.13</v>
      </c>
    </row>
    <row r="489" spans="2:4">
      <c r="B489" s="133">
        <v>42805</v>
      </c>
      <c r="C489" s="106">
        <v>-0.05</v>
      </c>
      <c r="D489" s="106">
        <v>-0.15</v>
      </c>
    </row>
    <row r="490" spans="2:4">
      <c r="B490" s="133">
        <v>42806</v>
      </c>
      <c r="C490" s="106">
        <v>-0.01</v>
      </c>
      <c r="D490" s="106">
        <v>0.03</v>
      </c>
    </row>
    <row r="491" spans="2:4">
      <c r="B491" s="133">
        <v>42807</v>
      </c>
      <c r="C491" s="106">
        <v>-0.02</v>
      </c>
      <c r="D491" s="106">
        <v>0.12</v>
      </c>
    </row>
    <row r="492" spans="2:4">
      <c r="B492" s="133">
        <v>42808</v>
      </c>
      <c r="C492" s="106">
        <v>-0.03</v>
      </c>
      <c r="D492" s="106">
        <v>0.1</v>
      </c>
    </row>
    <row r="493" spans="2:4">
      <c r="B493" s="133">
        <v>42809</v>
      </c>
      <c r="C493" s="106">
        <v>-0.12</v>
      </c>
      <c r="D493" s="106">
        <v>-0.03</v>
      </c>
    </row>
    <row r="494" spans="2:4">
      <c r="B494" s="133">
        <v>42810</v>
      </c>
      <c r="C494" s="106">
        <v>0.14000000000000001</v>
      </c>
      <c r="D494" s="106">
        <v>0.18</v>
      </c>
    </row>
    <row r="495" spans="2:4">
      <c r="B495" s="133">
        <v>42811</v>
      </c>
      <c r="C495" s="106">
        <v>-0.09</v>
      </c>
      <c r="D495" s="106">
        <v>0.17</v>
      </c>
    </row>
    <row r="496" spans="2:4">
      <c r="B496" s="133">
        <v>42812</v>
      </c>
      <c r="C496" s="106">
        <v>0.02</v>
      </c>
      <c r="D496" s="106">
        <v>0.12</v>
      </c>
    </row>
    <row r="497" spans="2:4">
      <c r="B497" s="133">
        <v>42813</v>
      </c>
      <c r="C497" s="106">
        <v>0.11</v>
      </c>
      <c r="D497" s="106">
        <v>0.17</v>
      </c>
    </row>
    <row r="498" spans="2:4">
      <c r="B498" s="133">
        <v>42814</v>
      </c>
      <c r="C498" s="106">
        <v>0</v>
      </c>
      <c r="D498" s="106">
        <v>-0.01</v>
      </c>
    </row>
    <row r="499" spans="2:4">
      <c r="B499" s="133">
        <v>42815</v>
      </c>
      <c r="C499" s="106">
        <v>-0.06</v>
      </c>
      <c r="D499" s="106">
        <v>0.16</v>
      </c>
    </row>
    <row r="500" spans="2:4">
      <c r="B500" s="133">
        <v>42816</v>
      </c>
      <c r="C500" s="106">
        <v>-0.15</v>
      </c>
      <c r="D500" s="106">
        <v>-0.15</v>
      </c>
    </row>
    <row r="501" spans="2:4">
      <c r="B501" s="133">
        <v>42817</v>
      </c>
      <c r="C501" s="106">
        <v>0</v>
      </c>
      <c r="D501" s="106">
        <v>0</v>
      </c>
    </row>
    <row r="502" spans="2:4">
      <c r="B502" s="133">
        <v>42818</v>
      </c>
      <c r="C502" s="106">
        <v>0.06</v>
      </c>
      <c r="D502" s="106">
        <v>0.09</v>
      </c>
    </row>
    <row r="503" spans="2:4">
      <c r="B503" s="133">
        <v>42819</v>
      </c>
      <c r="C503" s="106">
        <v>0.1</v>
      </c>
      <c r="D503" s="106">
        <v>-0.02</v>
      </c>
    </row>
    <row r="504" spans="2:4">
      <c r="B504" s="133">
        <v>42820</v>
      </c>
      <c r="C504" s="106">
        <v>0.01</v>
      </c>
      <c r="D504" s="106">
        <v>-7.0000000000000007E-2</v>
      </c>
    </row>
    <row r="505" spans="2:4">
      <c r="B505" s="133">
        <v>42821</v>
      </c>
      <c r="C505" s="106">
        <v>-0.06</v>
      </c>
      <c r="D505" s="106">
        <v>-0.1</v>
      </c>
    </row>
    <row r="506" spans="2:4">
      <c r="B506" s="133">
        <v>42822</v>
      </c>
      <c r="C506" s="106">
        <v>7.0000000000000007E-2</v>
      </c>
      <c r="D506" s="106">
        <v>0.09</v>
      </c>
    </row>
    <row r="507" spans="2:4">
      <c r="B507" s="133">
        <v>42823</v>
      </c>
      <c r="C507" s="106">
        <v>0.17</v>
      </c>
      <c r="D507" s="106">
        <v>-0.08</v>
      </c>
    </row>
    <row r="508" spans="2:4">
      <c r="B508" s="133">
        <v>42824</v>
      </c>
      <c r="C508" s="106">
        <v>-0.04</v>
      </c>
      <c r="D508" s="106">
        <v>0.02</v>
      </c>
    </row>
    <row r="509" spans="2:4">
      <c r="B509" s="133">
        <v>42825</v>
      </c>
      <c r="C509" s="106">
        <v>0</v>
      </c>
      <c r="D509" s="106">
        <v>-0.05</v>
      </c>
    </row>
    <row r="510" spans="2:4">
      <c r="B510" s="133">
        <v>42826</v>
      </c>
      <c r="C510" s="106">
        <v>7.0000000000000007E-2</v>
      </c>
      <c r="D510" s="106">
        <v>0.11</v>
      </c>
    </row>
    <row r="511" spans="2:4">
      <c r="B511" s="133">
        <v>42827</v>
      </c>
      <c r="C511" s="106">
        <v>-0.13</v>
      </c>
      <c r="D511" s="106">
        <v>0.12</v>
      </c>
    </row>
    <row r="512" spans="2:4">
      <c r="B512" s="133">
        <v>42828</v>
      </c>
      <c r="C512" s="106">
        <v>-0.05</v>
      </c>
      <c r="D512" s="106">
        <v>0.01</v>
      </c>
    </row>
    <row r="513" spans="2:4">
      <c r="B513" s="133">
        <v>42829</v>
      </c>
      <c r="C513" s="106">
        <v>0.14000000000000001</v>
      </c>
      <c r="D513" s="106">
        <v>-0.04</v>
      </c>
    </row>
    <row r="514" spans="2:4">
      <c r="B514" s="133">
        <v>42830</v>
      </c>
      <c r="C514" s="106">
        <v>-0.11</v>
      </c>
      <c r="D514" s="106">
        <v>-0.08</v>
      </c>
    </row>
    <row r="515" spans="2:4">
      <c r="B515" s="133">
        <v>42831</v>
      </c>
      <c r="C515" s="106">
        <v>0</v>
      </c>
      <c r="D515" s="106">
        <v>-0.11</v>
      </c>
    </row>
    <row r="516" spans="2:4">
      <c r="B516" s="133">
        <v>42832</v>
      </c>
      <c r="C516" s="106">
        <v>0</v>
      </c>
      <c r="D516" s="106">
        <v>0.17</v>
      </c>
    </row>
    <row r="517" spans="2:4">
      <c r="B517" s="133">
        <v>42833</v>
      </c>
      <c r="C517" s="106">
        <v>0.17</v>
      </c>
      <c r="D517" s="106">
        <v>0.03</v>
      </c>
    </row>
    <row r="518" spans="2:4">
      <c r="B518" s="133">
        <v>42834</v>
      </c>
      <c r="C518" s="106">
        <v>-0.04</v>
      </c>
      <c r="D518" s="106">
        <v>0.12</v>
      </c>
    </row>
    <row r="519" spans="2:4">
      <c r="B519" s="133">
        <v>42835</v>
      </c>
      <c r="C519" s="106">
        <v>0</v>
      </c>
      <c r="D519" s="106">
        <v>0.09</v>
      </c>
    </row>
    <row r="520" spans="2:4">
      <c r="B520" s="133">
        <v>42836</v>
      </c>
      <c r="C520" s="106">
        <v>-0.08</v>
      </c>
      <c r="D520" s="106">
        <v>0.12</v>
      </c>
    </row>
    <row r="521" spans="2:4">
      <c r="B521" s="133">
        <v>42837</v>
      </c>
      <c r="C521" s="106">
        <v>0.14000000000000001</v>
      </c>
      <c r="D521" s="106">
        <v>0.01</v>
      </c>
    </row>
    <row r="522" spans="2:4">
      <c r="B522" s="133">
        <v>42838</v>
      </c>
      <c r="C522" s="106">
        <v>0.2</v>
      </c>
      <c r="D522" s="106">
        <v>0.15</v>
      </c>
    </row>
    <row r="523" spans="2:4">
      <c r="B523" s="133">
        <v>42839</v>
      </c>
      <c r="C523" s="106">
        <v>-0.03</v>
      </c>
      <c r="D523" s="106">
        <v>-0.13</v>
      </c>
    </row>
    <row r="524" spans="2:4">
      <c r="B524" s="133">
        <v>42840</v>
      </c>
      <c r="C524" s="106">
        <v>-7.0000000000000007E-2</v>
      </c>
      <c r="D524" s="106">
        <v>0.1</v>
      </c>
    </row>
    <row r="525" spans="2:4">
      <c r="B525" s="133">
        <v>42841</v>
      </c>
      <c r="C525" s="106">
        <v>0.17</v>
      </c>
      <c r="D525" s="106">
        <v>0.12</v>
      </c>
    </row>
    <row r="526" spans="2:4">
      <c r="B526" s="133">
        <v>42842</v>
      </c>
      <c r="C526" s="106">
        <v>0.06</v>
      </c>
      <c r="D526" s="106">
        <v>0.04</v>
      </c>
    </row>
    <row r="527" spans="2:4">
      <c r="B527" s="133">
        <v>42843</v>
      </c>
      <c r="C527" s="106">
        <v>0.04</v>
      </c>
      <c r="D527" s="106">
        <v>0.06</v>
      </c>
    </row>
    <row r="528" spans="2:4">
      <c r="B528" s="133">
        <v>42844</v>
      </c>
      <c r="C528" s="106">
        <v>0.17</v>
      </c>
      <c r="D528" s="106">
        <v>0</v>
      </c>
    </row>
    <row r="529" spans="2:4">
      <c r="B529" s="133">
        <v>42845</v>
      </c>
      <c r="C529" s="106">
        <v>0.01</v>
      </c>
      <c r="D529" s="106">
        <v>0.1</v>
      </c>
    </row>
    <row r="530" spans="2:4">
      <c r="B530" s="133">
        <v>42846</v>
      </c>
      <c r="C530" s="106">
        <v>-0.15</v>
      </c>
      <c r="D530" s="106">
        <v>-0.14000000000000001</v>
      </c>
    </row>
    <row r="531" spans="2:4">
      <c r="B531" s="133">
        <v>42847</v>
      </c>
      <c r="C531" s="106">
        <v>-0.09</v>
      </c>
      <c r="D531" s="106">
        <v>-0.1</v>
      </c>
    </row>
    <row r="532" spans="2:4">
      <c r="B532" s="133">
        <v>42848</v>
      </c>
      <c r="C532" s="106">
        <v>-7.0000000000000007E-2</v>
      </c>
      <c r="D532" s="106">
        <v>-0.04</v>
      </c>
    </row>
    <row r="533" spans="2:4">
      <c r="B533" s="133">
        <v>42849</v>
      </c>
      <c r="C533" s="106">
        <v>-0.12</v>
      </c>
      <c r="D533" s="106">
        <v>-0.14000000000000001</v>
      </c>
    </row>
    <row r="534" spans="2:4">
      <c r="B534" s="133">
        <v>42850</v>
      </c>
      <c r="C534" s="106">
        <v>0.1</v>
      </c>
      <c r="D534" s="106">
        <v>-0.13</v>
      </c>
    </row>
    <row r="535" spans="2:4">
      <c r="B535" s="133">
        <v>42851</v>
      </c>
      <c r="C535" s="106">
        <v>-0.01</v>
      </c>
      <c r="D535" s="106">
        <v>0.1</v>
      </c>
    </row>
    <row r="536" spans="2:4">
      <c r="B536" s="133">
        <v>42852</v>
      </c>
      <c r="C536" s="106">
        <v>-0.05</v>
      </c>
      <c r="D536" s="106">
        <v>0.16</v>
      </c>
    </row>
    <row r="537" spans="2:4">
      <c r="B537" s="133">
        <v>42853</v>
      </c>
      <c r="C537" s="106">
        <v>0.16</v>
      </c>
      <c r="D537" s="106">
        <v>-0.02</v>
      </c>
    </row>
    <row r="538" spans="2:4">
      <c r="B538" s="133">
        <v>42854</v>
      </c>
      <c r="C538" s="106">
        <v>0.06</v>
      </c>
      <c r="D538" s="106">
        <v>-0.14000000000000001</v>
      </c>
    </row>
    <row r="539" spans="2:4">
      <c r="B539" s="133">
        <v>42855</v>
      </c>
      <c r="C539" s="106">
        <v>-0.04</v>
      </c>
      <c r="D539" s="106">
        <v>-0.15</v>
      </c>
    </row>
    <row r="540" spans="2:4">
      <c r="B540" s="133">
        <v>42856</v>
      </c>
      <c r="C540" s="106">
        <v>0.2</v>
      </c>
      <c r="D540" s="106">
        <v>0.2</v>
      </c>
    </row>
    <row r="541" spans="2:4">
      <c r="B541" s="133">
        <v>42857</v>
      </c>
      <c r="C541" s="106">
        <v>0.13</v>
      </c>
      <c r="D541" s="106">
        <v>0</v>
      </c>
    </row>
    <row r="542" spans="2:4">
      <c r="B542" s="133">
        <v>42858</v>
      </c>
      <c r="C542" s="106">
        <v>-0.09</v>
      </c>
      <c r="D542" s="106">
        <v>0.11</v>
      </c>
    </row>
    <row r="543" spans="2:4">
      <c r="B543" s="133">
        <v>42859</v>
      </c>
      <c r="C543" s="106">
        <v>7.0000000000000007E-2</v>
      </c>
      <c r="D543" s="106">
        <v>0.03</v>
      </c>
    </row>
    <row r="544" spans="2:4">
      <c r="B544" s="133">
        <v>42860</v>
      </c>
      <c r="C544" s="106">
        <v>0.15</v>
      </c>
      <c r="D544" s="106">
        <v>0.09</v>
      </c>
    </row>
    <row r="545" spans="2:4">
      <c r="B545" s="133">
        <v>42861</v>
      </c>
      <c r="C545" s="106">
        <v>-0.14000000000000001</v>
      </c>
      <c r="D545" s="106">
        <v>0.2</v>
      </c>
    </row>
    <row r="546" spans="2:4">
      <c r="B546" s="133">
        <v>42862</v>
      </c>
      <c r="C546" s="106">
        <v>0.1</v>
      </c>
      <c r="D546" s="106">
        <v>-0.15</v>
      </c>
    </row>
    <row r="547" spans="2:4">
      <c r="B547" s="133">
        <v>42863</v>
      </c>
      <c r="C547" s="106">
        <v>0.16</v>
      </c>
      <c r="D547" s="106">
        <v>-0.02</v>
      </c>
    </row>
    <row r="548" spans="2:4">
      <c r="B548" s="133">
        <v>42864</v>
      </c>
      <c r="C548" s="106">
        <v>-0.09</v>
      </c>
      <c r="D548" s="106">
        <v>-0.15</v>
      </c>
    </row>
    <row r="549" spans="2:4">
      <c r="B549" s="133">
        <v>42865</v>
      </c>
      <c r="C549" s="106">
        <v>0.15</v>
      </c>
      <c r="D549" s="106">
        <v>-0.06</v>
      </c>
    </row>
    <row r="550" spans="2:4">
      <c r="B550" s="133">
        <v>42866</v>
      </c>
      <c r="C550" s="106">
        <v>-0.05</v>
      </c>
      <c r="D550" s="106">
        <v>0.15</v>
      </c>
    </row>
    <row r="551" spans="2:4">
      <c r="B551" s="133">
        <v>42867</v>
      </c>
      <c r="C551" s="106">
        <v>-0.03</v>
      </c>
      <c r="D551" s="106">
        <v>0.17</v>
      </c>
    </row>
    <row r="552" spans="2:4">
      <c r="B552" s="133">
        <v>42868</v>
      </c>
      <c r="C552" s="106">
        <v>-0.08</v>
      </c>
      <c r="D552" s="106">
        <v>0.16</v>
      </c>
    </row>
    <row r="553" spans="2:4">
      <c r="B553" s="133">
        <v>42869</v>
      </c>
      <c r="C553" s="106">
        <v>-0.05</v>
      </c>
      <c r="D553" s="106">
        <v>-0.02</v>
      </c>
    </row>
    <row r="554" spans="2:4">
      <c r="B554" s="133">
        <v>42870</v>
      </c>
      <c r="C554" s="106">
        <v>-7.0000000000000007E-2</v>
      </c>
      <c r="D554" s="106">
        <v>0.14000000000000001</v>
      </c>
    </row>
    <row r="555" spans="2:4">
      <c r="B555" s="133">
        <v>42871</v>
      </c>
      <c r="C555" s="106">
        <v>-0.13</v>
      </c>
      <c r="D555" s="106">
        <v>0.1</v>
      </c>
    </row>
    <row r="556" spans="2:4">
      <c r="B556" s="133">
        <v>42872</v>
      </c>
      <c r="C556" s="106">
        <v>-0.08</v>
      </c>
      <c r="D556" s="106">
        <v>0.16</v>
      </c>
    </row>
    <row r="557" spans="2:4">
      <c r="B557" s="133">
        <v>42873</v>
      </c>
      <c r="C557" s="106">
        <v>0.01</v>
      </c>
      <c r="D557" s="106">
        <v>0.12</v>
      </c>
    </row>
    <row r="558" spans="2:4">
      <c r="B558" s="133">
        <v>42874</v>
      </c>
      <c r="C558" s="106">
        <v>0.01</v>
      </c>
      <c r="D558" s="106">
        <v>0.18</v>
      </c>
    </row>
    <row r="559" spans="2:4">
      <c r="B559" s="133">
        <v>42875</v>
      </c>
      <c r="C559" s="106">
        <v>0.02</v>
      </c>
      <c r="D559" s="106">
        <v>0.16</v>
      </c>
    </row>
    <row r="560" spans="2:4">
      <c r="B560" s="133">
        <v>42876</v>
      </c>
      <c r="C560" s="106">
        <v>-0.01</v>
      </c>
      <c r="D560" s="106">
        <v>-0.05</v>
      </c>
    </row>
    <row r="561" spans="2:4">
      <c r="B561" s="133">
        <v>42877</v>
      </c>
      <c r="C561" s="106">
        <v>-0.01</v>
      </c>
      <c r="D561" s="106">
        <v>0.18</v>
      </c>
    </row>
    <row r="562" spans="2:4">
      <c r="B562" s="133">
        <v>42878</v>
      </c>
      <c r="C562" s="106">
        <v>0.06</v>
      </c>
      <c r="D562" s="106">
        <v>0</v>
      </c>
    </row>
    <row r="563" spans="2:4">
      <c r="B563" s="133">
        <v>42879</v>
      </c>
      <c r="C563" s="106">
        <v>-0.02</v>
      </c>
      <c r="D563" s="106">
        <v>0.08</v>
      </c>
    </row>
    <row r="564" spans="2:4">
      <c r="B564" s="133">
        <v>42880</v>
      </c>
      <c r="C564" s="106">
        <v>0.01</v>
      </c>
      <c r="D564" s="106">
        <v>0.16</v>
      </c>
    </row>
    <row r="565" spans="2:4">
      <c r="B565" s="133">
        <v>42881</v>
      </c>
      <c r="C565" s="106">
        <v>0.09</v>
      </c>
      <c r="D565" s="106">
        <v>-0.03</v>
      </c>
    </row>
    <row r="566" spans="2:4">
      <c r="B566" s="133">
        <v>42882</v>
      </c>
      <c r="C566" s="106">
        <v>0.19</v>
      </c>
      <c r="D566" s="106">
        <v>0.05</v>
      </c>
    </row>
    <row r="567" spans="2:4">
      <c r="B567" s="133">
        <v>42883</v>
      </c>
      <c r="C567" s="106">
        <v>-0.14000000000000001</v>
      </c>
      <c r="D567" s="106">
        <v>-0.11</v>
      </c>
    </row>
    <row r="568" spans="2:4">
      <c r="B568" s="133">
        <v>42884</v>
      </c>
      <c r="C568" s="106">
        <v>0.04</v>
      </c>
      <c r="D568" s="106">
        <v>0.15</v>
      </c>
    </row>
    <row r="569" spans="2:4">
      <c r="B569" s="133">
        <v>42885</v>
      </c>
      <c r="C569" s="106">
        <v>0.18</v>
      </c>
      <c r="D569" s="106">
        <v>0.06</v>
      </c>
    </row>
    <row r="570" spans="2:4">
      <c r="B570" s="133">
        <v>42886</v>
      </c>
      <c r="C570" s="106">
        <v>0.03</v>
      </c>
      <c r="D570" s="106">
        <v>-0.09</v>
      </c>
    </row>
    <row r="571" spans="2:4">
      <c r="B571" s="133">
        <v>42887</v>
      </c>
      <c r="C571" s="106">
        <v>0.14000000000000001</v>
      </c>
      <c r="D571" s="106">
        <v>0.2</v>
      </c>
    </row>
    <row r="572" spans="2:4">
      <c r="B572" s="133">
        <v>42888</v>
      </c>
      <c r="C572" s="106">
        <v>0.2</v>
      </c>
      <c r="D572" s="106">
        <v>-0.13</v>
      </c>
    </row>
    <row r="573" spans="2:4">
      <c r="B573" s="133">
        <v>42889</v>
      </c>
      <c r="C573" s="106">
        <v>-0.09</v>
      </c>
      <c r="D573" s="106">
        <v>-0.05</v>
      </c>
    </row>
    <row r="574" spans="2:4">
      <c r="B574" s="133">
        <v>42890</v>
      </c>
      <c r="C574" s="106">
        <v>-7.0000000000000007E-2</v>
      </c>
      <c r="D574" s="106">
        <v>0.2</v>
      </c>
    </row>
    <row r="575" spans="2:4">
      <c r="B575" s="133">
        <v>42891</v>
      </c>
      <c r="C575" s="106">
        <v>0.13</v>
      </c>
      <c r="D575" s="106">
        <v>-0.08</v>
      </c>
    </row>
    <row r="576" spans="2:4">
      <c r="B576" s="133">
        <v>42892</v>
      </c>
      <c r="C576" s="106">
        <v>0.17</v>
      </c>
      <c r="D576" s="106">
        <v>-0.09</v>
      </c>
    </row>
    <row r="577" spans="2:4">
      <c r="B577" s="133">
        <v>42893</v>
      </c>
      <c r="C577" s="106">
        <v>0.12</v>
      </c>
      <c r="D577" s="106">
        <v>0.06</v>
      </c>
    </row>
    <row r="578" spans="2:4">
      <c r="B578" s="133">
        <v>42894</v>
      </c>
      <c r="C578" s="106">
        <v>0.04</v>
      </c>
      <c r="D578" s="106">
        <v>-0.02</v>
      </c>
    </row>
    <row r="579" spans="2:4">
      <c r="B579" s="133">
        <v>42895</v>
      </c>
      <c r="C579" s="106">
        <v>-0.04</v>
      </c>
      <c r="D579" s="106">
        <v>-0.04</v>
      </c>
    </row>
    <row r="580" spans="2:4">
      <c r="B580" s="133">
        <v>42896</v>
      </c>
      <c r="C580" s="106">
        <v>-0.01</v>
      </c>
      <c r="D580" s="106">
        <v>0.16</v>
      </c>
    </row>
    <row r="581" spans="2:4">
      <c r="B581" s="133">
        <v>42897</v>
      </c>
      <c r="C581" s="106">
        <v>-0.14000000000000001</v>
      </c>
      <c r="D581" s="106">
        <v>-7.0000000000000007E-2</v>
      </c>
    </row>
    <row r="582" spans="2:4">
      <c r="B582" s="133">
        <v>42898</v>
      </c>
      <c r="C582" s="106">
        <v>0.2</v>
      </c>
      <c r="D582" s="106">
        <v>-0.06</v>
      </c>
    </row>
    <row r="583" spans="2:4">
      <c r="B583" s="133">
        <v>42899</v>
      </c>
      <c r="C583" s="106">
        <v>7.0000000000000007E-2</v>
      </c>
      <c r="D583" s="106">
        <v>-0.08</v>
      </c>
    </row>
    <row r="584" spans="2:4">
      <c r="B584" s="133">
        <v>42900</v>
      </c>
      <c r="C584" s="106">
        <v>-0.04</v>
      </c>
      <c r="D584" s="106">
        <v>-0.05</v>
      </c>
    </row>
    <row r="585" spans="2:4">
      <c r="B585" s="133">
        <v>42901</v>
      </c>
      <c r="C585" s="106">
        <v>0.01</v>
      </c>
      <c r="D585" s="106">
        <v>0</v>
      </c>
    </row>
    <row r="586" spans="2:4">
      <c r="B586" s="133">
        <v>42902</v>
      </c>
      <c r="C586" s="106">
        <v>-0.09</v>
      </c>
      <c r="D586" s="106">
        <v>-0.01</v>
      </c>
    </row>
    <row r="587" spans="2:4">
      <c r="B587" s="133">
        <v>42903</v>
      </c>
      <c r="C587" s="106">
        <v>-0.02</v>
      </c>
      <c r="D587" s="106">
        <v>7.0000000000000007E-2</v>
      </c>
    </row>
    <row r="588" spans="2:4">
      <c r="B588" s="133">
        <v>42904</v>
      </c>
      <c r="C588" s="106">
        <v>-0.03</v>
      </c>
      <c r="D588" s="106">
        <v>0.13</v>
      </c>
    </row>
    <row r="589" spans="2:4">
      <c r="B589" s="133">
        <v>42905</v>
      </c>
      <c r="C589" s="106">
        <v>0.13</v>
      </c>
      <c r="D589" s="106">
        <v>0.03</v>
      </c>
    </row>
    <row r="590" spans="2:4">
      <c r="B590" s="133">
        <v>42906</v>
      </c>
      <c r="C590" s="106">
        <v>-0.05</v>
      </c>
      <c r="D590" s="106">
        <v>-0.12</v>
      </c>
    </row>
    <row r="591" spans="2:4">
      <c r="B591" s="133">
        <v>42907</v>
      </c>
      <c r="C591" s="106">
        <v>0.16</v>
      </c>
      <c r="D591" s="106">
        <v>-0.15</v>
      </c>
    </row>
    <row r="592" spans="2:4">
      <c r="B592" s="133">
        <v>42908</v>
      </c>
      <c r="C592" s="106">
        <v>0.03</v>
      </c>
      <c r="D592" s="106">
        <v>0.12</v>
      </c>
    </row>
    <row r="593" spans="2:4">
      <c r="B593" s="133">
        <v>42909</v>
      </c>
      <c r="C593" s="106">
        <v>-0.12</v>
      </c>
      <c r="D593" s="106">
        <v>0.2</v>
      </c>
    </row>
    <row r="594" spans="2:4">
      <c r="B594" s="133">
        <v>42910</v>
      </c>
      <c r="C594" s="106">
        <v>0</v>
      </c>
      <c r="D594" s="106">
        <v>0.12</v>
      </c>
    </row>
    <row r="595" spans="2:4">
      <c r="B595" s="133">
        <v>42911</v>
      </c>
      <c r="C595" s="106">
        <v>-0.13</v>
      </c>
      <c r="D595" s="106">
        <v>-0.03</v>
      </c>
    </row>
    <row r="596" spans="2:4">
      <c r="B596" s="133">
        <v>42912</v>
      </c>
      <c r="C596" s="106">
        <v>0.13</v>
      </c>
      <c r="D596" s="106">
        <v>-0.09</v>
      </c>
    </row>
    <row r="597" spans="2:4">
      <c r="B597" s="133">
        <v>42913</v>
      </c>
      <c r="C597" s="106">
        <v>0.05</v>
      </c>
      <c r="D597" s="106">
        <v>0.14000000000000001</v>
      </c>
    </row>
    <row r="598" spans="2:4">
      <c r="B598" s="133">
        <v>42914</v>
      </c>
      <c r="C598" s="106">
        <v>-0.02</v>
      </c>
      <c r="D598" s="106">
        <v>0.05</v>
      </c>
    </row>
    <row r="599" spans="2:4">
      <c r="B599" s="133">
        <v>42915</v>
      </c>
      <c r="C599" s="106">
        <v>0.08</v>
      </c>
      <c r="D599" s="106">
        <v>0.17</v>
      </c>
    </row>
    <row r="600" spans="2:4">
      <c r="B600" s="133">
        <v>42916</v>
      </c>
      <c r="C600" s="106">
        <v>0.06</v>
      </c>
      <c r="D600" s="106">
        <v>-0.04</v>
      </c>
    </row>
    <row r="601" spans="2:4">
      <c r="B601" s="133">
        <v>42917</v>
      </c>
      <c r="C601" s="106">
        <v>-0.01</v>
      </c>
      <c r="D601" s="106">
        <v>0.13</v>
      </c>
    </row>
    <row r="602" spans="2:4">
      <c r="B602" s="133">
        <v>42918</v>
      </c>
      <c r="C602" s="106">
        <v>-0.12</v>
      </c>
      <c r="D602" s="106">
        <v>0.03</v>
      </c>
    </row>
    <row r="603" spans="2:4">
      <c r="B603" s="133">
        <v>42919</v>
      </c>
      <c r="C603" s="106">
        <v>-0.05</v>
      </c>
      <c r="D603" s="106">
        <v>0.02</v>
      </c>
    </row>
    <row r="604" spans="2:4">
      <c r="B604" s="133">
        <v>42920</v>
      </c>
      <c r="C604" s="106">
        <v>0.1</v>
      </c>
      <c r="D604" s="106">
        <v>0.02</v>
      </c>
    </row>
    <row r="605" spans="2:4">
      <c r="B605" s="133">
        <v>42921</v>
      </c>
      <c r="C605" s="106">
        <v>-0.1</v>
      </c>
      <c r="D605" s="106">
        <v>-0.08</v>
      </c>
    </row>
    <row r="606" spans="2:4">
      <c r="B606" s="133">
        <v>42922</v>
      </c>
      <c r="C606" s="106">
        <v>0.08</v>
      </c>
      <c r="D606" s="106">
        <v>0</v>
      </c>
    </row>
    <row r="607" spans="2:4">
      <c r="B607" s="133">
        <v>42923</v>
      </c>
      <c r="C607" s="106">
        <v>0.12</v>
      </c>
      <c r="D607" s="106">
        <v>0.01</v>
      </c>
    </row>
    <row r="608" spans="2:4">
      <c r="B608" s="133">
        <v>42924</v>
      </c>
      <c r="C608" s="106">
        <v>0.2</v>
      </c>
      <c r="D608" s="106">
        <v>-0.01</v>
      </c>
    </row>
    <row r="609" spans="2:4">
      <c r="B609" s="133">
        <v>42925</v>
      </c>
      <c r="C609" s="106">
        <v>-0.1</v>
      </c>
      <c r="D609" s="106">
        <v>0.06</v>
      </c>
    </row>
    <row r="610" spans="2:4">
      <c r="B610" s="133">
        <v>42926</v>
      </c>
      <c r="C610" s="106">
        <v>-0.01</v>
      </c>
      <c r="D610" s="106">
        <v>0.12</v>
      </c>
    </row>
    <row r="611" spans="2:4">
      <c r="B611" s="133">
        <v>42927</v>
      </c>
      <c r="C611" s="106">
        <v>7.0000000000000007E-2</v>
      </c>
      <c r="D611" s="106">
        <v>0.02</v>
      </c>
    </row>
    <row r="612" spans="2:4">
      <c r="B612" s="133">
        <v>42928</v>
      </c>
      <c r="C612" s="106">
        <v>-0.12</v>
      </c>
      <c r="D612" s="106">
        <v>-0.12</v>
      </c>
    </row>
    <row r="613" spans="2:4">
      <c r="B613" s="133">
        <v>42929</v>
      </c>
      <c r="C613" s="106">
        <v>0.09</v>
      </c>
      <c r="D613" s="106">
        <v>0.02</v>
      </c>
    </row>
    <row r="614" spans="2:4">
      <c r="B614" s="133">
        <v>42930</v>
      </c>
      <c r="C614" s="106">
        <v>-0.12</v>
      </c>
      <c r="D614" s="106">
        <v>0.01</v>
      </c>
    </row>
    <row r="615" spans="2:4">
      <c r="B615" s="133">
        <v>42931</v>
      </c>
      <c r="C615" s="106">
        <v>-0.05</v>
      </c>
      <c r="D615" s="106">
        <v>-0.09</v>
      </c>
    </row>
    <row r="616" spans="2:4">
      <c r="B616" s="133">
        <v>42932</v>
      </c>
      <c r="C616" s="106">
        <v>0.14000000000000001</v>
      </c>
      <c r="D616" s="106">
        <v>0.02</v>
      </c>
    </row>
    <row r="617" spans="2:4">
      <c r="B617" s="133">
        <v>42933</v>
      </c>
      <c r="C617" s="106">
        <v>0.14000000000000001</v>
      </c>
      <c r="D617" s="106">
        <v>-0.02</v>
      </c>
    </row>
    <row r="618" spans="2:4">
      <c r="B618" s="133">
        <v>42934</v>
      </c>
      <c r="C618" s="106">
        <v>-0.04</v>
      </c>
      <c r="D618" s="106">
        <v>-0.13</v>
      </c>
    </row>
    <row r="619" spans="2:4">
      <c r="B619" s="133">
        <v>42935</v>
      </c>
      <c r="C619" s="106">
        <v>0.2</v>
      </c>
      <c r="D619" s="106">
        <v>0.06</v>
      </c>
    </row>
    <row r="620" spans="2:4">
      <c r="B620" s="133">
        <v>42936</v>
      </c>
      <c r="C620" s="106">
        <v>0.03</v>
      </c>
      <c r="D620" s="106">
        <v>0.17</v>
      </c>
    </row>
    <row r="621" spans="2:4">
      <c r="B621" s="133">
        <v>42937</v>
      </c>
      <c r="C621" s="106">
        <v>-0.01</v>
      </c>
      <c r="D621" s="106">
        <v>-0.05</v>
      </c>
    </row>
    <row r="622" spans="2:4">
      <c r="B622" s="133">
        <v>42938</v>
      </c>
      <c r="C622" s="106">
        <v>0.05</v>
      </c>
      <c r="D622" s="106">
        <v>0.01</v>
      </c>
    </row>
    <row r="623" spans="2:4">
      <c r="B623" s="133">
        <v>42939</v>
      </c>
      <c r="C623" s="106">
        <v>-0.11</v>
      </c>
      <c r="D623" s="106">
        <v>-0.06</v>
      </c>
    </row>
    <row r="624" spans="2:4">
      <c r="B624" s="133">
        <v>42940</v>
      </c>
      <c r="C624" s="106">
        <v>-0.02</v>
      </c>
      <c r="D624" s="106">
        <v>-0.04</v>
      </c>
    </row>
    <row r="625" spans="2:4">
      <c r="B625" s="133">
        <v>42941</v>
      </c>
      <c r="C625" s="106">
        <v>0.06</v>
      </c>
      <c r="D625" s="106">
        <v>-0.12</v>
      </c>
    </row>
    <row r="626" spans="2:4">
      <c r="B626" s="133">
        <v>42942</v>
      </c>
      <c r="C626" s="106">
        <v>0</v>
      </c>
      <c r="D626" s="106">
        <v>0.08</v>
      </c>
    </row>
    <row r="627" spans="2:4">
      <c r="B627" s="133">
        <v>42943</v>
      </c>
      <c r="C627" s="106">
        <v>-0.09</v>
      </c>
      <c r="D627" s="106">
        <v>-0.15</v>
      </c>
    </row>
    <row r="628" spans="2:4">
      <c r="B628" s="133">
        <v>42944</v>
      </c>
      <c r="C628" s="106">
        <v>-0.01</v>
      </c>
      <c r="D628" s="106">
        <v>-0.04</v>
      </c>
    </row>
    <row r="629" spans="2:4">
      <c r="B629" s="133">
        <v>42945</v>
      </c>
      <c r="C629" s="106">
        <v>0.15</v>
      </c>
      <c r="D629" s="106">
        <v>0.04</v>
      </c>
    </row>
    <row r="630" spans="2:4">
      <c r="B630" s="133">
        <v>42946</v>
      </c>
      <c r="C630" s="106">
        <v>-0.08</v>
      </c>
      <c r="D630" s="106">
        <v>0.19</v>
      </c>
    </row>
    <row r="631" spans="2:4">
      <c r="B631" s="133">
        <v>42947</v>
      </c>
      <c r="C631" s="106">
        <v>0.19</v>
      </c>
      <c r="D631" s="106">
        <v>0.02</v>
      </c>
    </row>
    <row r="632" spans="2:4">
      <c r="B632" s="133">
        <v>42948</v>
      </c>
      <c r="C632" s="106">
        <v>-0.08</v>
      </c>
      <c r="D632" s="106">
        <v>-7.0000000000000007E-2</v>
      </c>
    </row>
    <row r="633" spans="2:4">
      <c r="B633" s="133">
        <v>42949</v>
      </c>
      <c r="C633" s="106">
        <v>0.16</v>
      </c>
      <c r="D633" s="106">
        <v>-0.1</v>
      </c>
    </row>
    <row r="634" spans="2:4">
      <c r="B634" s="133">
        <v>42950</v>
      </c>
      <c r="C634" s="106">
        <v>-0.12</v>
      </c>
      <c r="D634" s="106">
        <v>-0.02</v>
      </c>
    </row>
    <row r="635" spans="2:4">
      <c r="B635" s="133">
        <v>42951</v>
      </c>
      <c r="C635" s="106">
        <v>0.18</v>
      </c>
      <c r="D635" s="106">
        <v>-0.15</v>
      </c>
    </row>
    <row r="636" spans="2:4">
      <c r="B636" s="133">
        <v>42952</v>
      </c>
      <c r="C636" s="106">
        <v>-0.02</v>
      </c>
      <c r="D636" s="106">
        <v>0.02</v>
      </c>
    </row>
    <row r="637" spans="2:4">
      <c r="B637" s="133">
        <v>42953</v>
      </c>
      <c r="C637" s="106">
        <v>0.01</v>
      </c>
      <c r="D637" s="106">
        <v>0.01</v>
      </c>
    </row>
    <row r="638" spans="2:4">
      <c r="B638" s="133">
        <v>42954</v>
      </c>
      <c r="C638" s="106">
        <v>-0.13</v>
      </c>
      <c r="D638" s="106">
        <v>-0.1</v>
      </c>
    </row>
    <row r="639" spans="2:4">
      <c r="B639" s="133">
        <v>42955</v>
      </c>
      <c r="C639" s="106">
        <v>7.0000000000000007E-2</v>
      </c>
      <c r="D639" s="106">
        <v>-0.02</v>
      </c>
    </row>
    <row r="640" spans="2:4">
      <c r="B640" s="133">
        <v>42956</v>
      </c>
      <c r="C640" s="106">
        <v>0.15</v>
      </c>
      <c r="D640" s="106">
        <v>0.03</v>
      </c>
    </row>
    <row r="641" spans="2:4">
      <c r="B641" s="133">
        <v>42957</v>
      </c>
      <c r="C641" s="106">
        <v>0.03</v>
      </c>
      <c r="D641" s="106">
        <v>-7.0000000000000007E-2</v>
      </c>
    </row>
    <row r="642" spans="2:4">
      <c r="B642" s="133">
        <v>42958</v>
      </c>
      <c r="C642" s="106">
        <v>0.16</v>
      </c>
      <c r="D642" s="106">
        <v>0.08</v>
      </c>
    </row>
    <row r="643" spans="2:4">
      <c r="B643" s="133">
        <v>42959</v>
      </c>
      <c r="C643" s="106">
        <v>0.02</v>
      </c>
      <c r="D643" s="106">
        <v>0.15</v>
      </c>
    </row>
    <row r="644" spans="2:4">
      <c r="B644" s="133">
        <v>42960</v>
      </c>
      <c r="C644" s="106">
        <v>0.19</v>
      </c>
      <c r="D644" s="106">
        <v>0.19</v>
      </c>
    </row>
    <row r="645" spans="2:4">
      <c r="B645" s="133">
        <v>42961</v>
      </c>
      <c r="C645" s="106">
        <v>-0.06</v>
      </c>
      <c r="D645" s="106">
        <v>-0.01</v>
      </c>
    </row>
    <row r="646" spans="2:4">
      <c r="B646" s="133">
        <v>42962</v>
      </c>
      <c r="C646" s="106">
        <v>0.18</v>
      </c>
      <c r="D646" s="106">
        <v>0.04</v>
      </c>
    </row>
    <row r="647" spans="2:4">
      <c r="B647" s="133">
        <v>42963</v>
      </c>
      <c r="C647" s="106">
        <v>-0.12</v>
      </c>
      <c r="D647" s="106">
        <v>0.15</v>
      </c>
    </row>
    <row r="648" spans="2:4">
      <c r="B648" s="133">
        <v>42964</v>
      </c>
      <c r="C648" s="106">
        <v>0.1</v>
      </c>
      <c r="D648" s="106">
        <v>0.16</v>
      </c>
    </row>
    <row r="649" spans="2:4">
      <c r="B649" s="133">
        <v>42965</v>
      </c>
      <c r="C649" s="106">
        <v>0.03</v>
      </c>
      <c r="D649" s="106">
        <v>0.13</v>
      </c>
    </row>
    <row r="650" spans="2:4">
      <c r="B650" s="133">
        <v>42966</v>
      </c>
      <c r="C650" s="106">
        <v>-0.08</v>
      </c>
      <c r="D650" s="106">
        <v>0.1</v>
      </c>
    </row>
    <row r="651" spans="2:4">
      <c r="B651" s="133">
        <v>42967</v>
      </c>
      <c r="C651" s="106">
        <v>0.06</v>
      </c>
      <c r="D651" s="106">
        <v>0.1</v>
      </c>
    </row>
    <row r="652" spans="2:4">
      <c r="B652" s="133">
        <v>42968</v>
      </c>
      <c r="C652" s="106">
        <v>-0.06</v>
      </c>
      <c r="D652" s="106">
        <v>0.09</v>
      </c>
    </row>
    <row r="653" spans="2:4">
      <c r="B653" s="133">
        <v>42969</v>
      </c>
      <c r="C653" s="106">
        <v>-0.01</v>
      </c>
      <c r="D653" s="106">
        <v>0.02</v>
      </c>
    </row>
    <row r="654" spans="2:4">
      <c r="B654" s="133">
        <v>42970</v>
      </c>
      <c r="C654" s="106">
        <v>0.13</v>
      </c>
      <c r="D654" s="106">
        <v>0.04</v>
      </c>
    </row>
    <row r="655" spans="2:4">
      <c r="B655" s="133">
        <v>42971</v>
      </c>
      <c r="C655" s="106">
        <v>0</v>
      </c>
      <c r="D655" s="106">
        <v>-0.05</v>
      </c>
    </row>
    <row r="656" spans="2:4">
      <c r="B656" s="133">
        <v>42972</v>
      </c>
      <c r="C656" s="106">
        <v>-0.08</v>
      </c>
      <c r="D656" s="106">
        <v>0.01</v>
      </c>
    </row>
    <row r="657" spans="2:4">
      <c r="B657" s="133">
        <v>42973</v>
      </c>
      <c r="C657" s="106">
        <v>-0.04</v>
      </c>
      <c r="D657" s="106">
        <v>0.08</v>
      </c>
    </row>
    <row r="658" spans="2:4">
      <c r="B658" s="133">
        <v>42974</v>
      </c>
      <c r="C658" s="106">
        <v>0.05</v>
      </c>
      <c r="D658" s="106">
        <v>0.05</v>
      </c>
    </row>
    <row r="659" spans="2:4">
      <c r="B659" s="133">
        <v>42975</v>
      </c>
      <c r="C659" s="106">
        <v>0.09</v>
      </c>
      <c r="D659" s="106">
        <v>0.14000000000000001</v>
      </c>
    </row>
    <row r="660" spans="2:4">
      <c r="B660" s="133">
        <v>42976</v>
      </c>
      <c r="C660" s="106">
        <v>0.17</v>
      </c>
      <c r="D660" s="106">
        <v>0.14000000000000001</v>
      </c>
    </row>
    <row r="661" spans="2:4">
      <c r="B661" s="133">
        <v>42977</v>
      </c>
      <c r="C661" s="106">
        <v>-0.06</v>
      </c>
      <c r="D661" s="106">
        <v>0</v>
      </c>
    </row>
    <row r="662" spans="2:4">
      <c r="B662" s="133">
        <v>42978</v>
      </c>
      <c r="C662" s="106">
        <v>-0.06</v>
      </c>
      <c r="D662" s="106">
        <v>-0.08</v>
      </c>
    </row>
    <row r="663" spans="2:4">
      <c r="B663" s="133">
        <v>42979</v>
      </c>
      <c r="C663" s="106">
        <v>-0.01</v>
      </c>
      <c r="D663" s="106">
        <v>0.04</v>
      </c>
    </row>
    <row r="664" spans="2:4">
      <c r="B664" s="133">
        <v>42980</v>
      </c>
      <c r="C664" s="106">
        <v>0.04</v>
      </c>
      <c r="D664" s="106">
        <v>0.15</v>
      </c>
    </row>
    <row r="665" spans="2:4">
      <c r="B665" s="133">
        <v>42981</v>
      </c>
      <c r="C665" s="106">
        <v>7.0000000000000007E-2</v>
      </c>
      <c r="D665" s="106">
        <v>-0.13</v>
      </c>
    </row>
    <row r="666" spans="2:4">
      <c r="B666" s="133">
        <v>42982</v>
      </c>
      <c r="C666" s="106">
        <v>0.08</v>
      </c>
      <c r="D666" s="106">
        <v>-7.0000000000000007E-2</v>
      </c>
    </row>
    <row r="667" spans="2:4">
      <c r="B667" s="133">
        <v>42983</v>
      </c>
      <c r="C667" s="106">
        <v>-0.11</v>
      </c>
      <c r="D667" s="106">
        <v>0</v>
      </c>
    </row>
    <row r="668" spans="2:4">
      <c r="B668" s="133">
        <v>42984</v>
      </c>
      <c r="C668" s="106">
        <v>-0.14000000000000001</v>
      </c>
      <c r="D668" s="106">
        <v>0.02</v>
      </c>
    </row>
    <row r="669" spans="2:4">
      <c r="B669" s="133">
        <v>42985</v>
      </c>
      <c r="C669" s="106">
        <v>0.2</v>
      </c>
      <c r="D669" s="106">
        <v>0.08</v>
      </c>
    </row>
    <row r="670" spans="2:4">
      <c r="B670" s="133">
        <v>42986</v>
      </c>
      <c r="C670" s="106">
        <v>0</v>
      </c>
      <c r="D670" s="106">
        <v>-0.01</v>
      </c>
    </row>
    <row r="671" spans="2:4">
      <c r="B671" s="133">
        <v>42987</v>
      </c>
      <c r="C671" s="106">
        <v>-0.06</v>
      </c>
      <c r="D671" s="106">
        <v>-0.11</v>
      </c>
    </row>
    <row r="672" spans="2:4">
      <c r="B672" s="133">
        <v>42988</v>
      </c>
      <c r="C672" s="106">
        <v>0.12</v>
      </c>
      <c r="D672" s="106">
        <v>-0.13</v>
      </c>
    </row>
    <row r="673" spans="2:4">
      <c r="B673" s="133">
        <v>42989</v>
      </c>
      <c r="C673" s="106">
        <v>0.19</v>
      </c>
      <c r="D673" s="106">
        <v>0.14000000000000001</v>
      </c>
    </row>
    <row r="674" spans="2:4">
      <c r="B674" s="133">
        <v>42990</v>
      </c>
      <c r="C674" s="106">
        <v>-0.02</v>
      </c>
      <c r="D674" s="106">
        <v>0.16</v>
      </c>
    </row>
    <row r="675" spans="2:4">
      <c r="B675" s="133">
        <v>42991</v>
      </c>
      <c r="C675" s="106">
        <v>-0.15</v>
      </c>
      <c r="D675" s="106">
        <v>0.16</v>
      </c>
    </row>
    <row r="676" spans="2:4">
      <c r="B676" s="133">
        <v>42992</v>
      </c>
      <c r="C676" s="106">
        <v>0.01</v>
      </c>
      <c r="D676" s="106">
        <v>-0.14000000000000001</v>
      </c>
    </row>
    <row r="677" spans="2:4">
      <c r="B677" s="133">
        <v>42993</v>
      </c>
      <c r="C677" s="106">
        <v>-0.09</v>
      </c>
      <c r="D677" s="106">
        <v>0</v>
      </c>
    </row>
    <row r="678" spans="2:4">
      <c r="B678" s="133">
        <v>42994</v>
      </c>
      <c r="C678" s="106">
        <v>-0.04</v>
      </c>
      <c r="D678" s="106">
        <v>0.09</v>
      </c>
    </row>
    <row r="679" spans="2:4">
      <c r="B679" s="133">
        <v>42995</v>
      </c>
      <c r="C679" s="106">
        <v>0.08</v>
      </c>
      <c r="D679" s="106">
        <v>7.0000000000000007E-2</v>
      </c>
    </row>
    <row r="680" spans="2:4">
      <c r="B680" s="133">
        <v>42996</v>
      </c>
      <c r="C680" s="106">
        <v>0.1</v>
      </c>
      <c r="D680" s="106">
        <v>0.09</v>
      </c>
    </row>
    <row r="681" spans="2:4">
      <c r="B681" s="133">
        <v>42997</v>
      </c>
      <c r="C681" s="106">
        <v>0.15</v>
      </c>
      <c r="D681" s="106">
        <v>-0.1</v>
      </c>
    </row>
    <row r="682" spans="2:4">
      <c r="B682" s="133">
        <v>42998</v>
      </c>
      <c r="C682" s="106">
        <v>0.2</v>
      </c>
      <c r="D682" s="106">
        <v>0.2</v>
      </c>
    </row>
    <row r="683" spans="2:4">
      <c r="B683" s="133">
        <v>42999</v>
      </c>
      <c r="C683" s="106">
        <v>0.05</v>
      </c>
      <c r="D683" s="106">
        <v>0.08</v>
      </c>
    </row>
    <row r="684" spans="2:4">
      <c r="B684" s="133">
        <v>43000</v>
      </c>
      <c r="C684" s="106">
        <v>-0.11</v>
      </c>
      <c r="D684" s="106">
        <v>0.17</v>
      </c>
    </row>
    <row r="685" spans="2:4">
      <c r="B685" s="133">
        <v>43001</v>
      </c>
      <c r="C685" s="106">
        <v>0.19</v>
      </c>
      <c r="D685" s="106">
        <v>0.2</v>
      </c>
    </row>
    <row r="686" spans="2:4">
      <c r="B686" s="133">
        <v>43002</v>
      </c>
      <c r="C686" s="106">
        <v>-0.13</v>
      </c>
      <c r="D686" s="106">
        <v>-0.1</v>
      </c>
    </row>
    <row r="687" spans="2:4">
      <c r="B687" s="133">
        <v>43003</v>
      </c>
      <c r="C687" s="106">
        <v>0.06</v>
      </c>
      <c r="D687" s="106">
        <v>0.2</v>
      </c>
    </row>
    <row r="688" spans="2:4">
      <c r="B688" s="133">
        <v>43004</v>
      </c>
      <c r="C688" s="106">
        <v>0.18</v>
      </c>
      <c r="D688" s="106">
        <v>0.01</v>
      </c>
    </row>
    <row r="689" spans="2:4">
      <c r="B689" s="133">
        <v>43005</v>
      </c>
      <c r="C689" s="106">
        <v>-0.15</v>
      </c>
      <c r="D689" s="106">
        <v>0.19</v>
      </c>
    </row>
    <row r="690" spans="2:4">
      <c r="B690" s="133">
        <v>43006</v>
      </c>
      <c r="C690" s="106">
        <v>0.13</v>
      </c>
      <c r="D690" s="106">
        <v>-0.02</v>
      </c>
    </row>
    <row r="691" spans="2:4">
      <c r="B691" s="133">
        <v>43007</v>
      </c>
      <c r="C691" s="106">
        <v>0.02</v>
      </c>
      <c r="D691" s="106">
        <v>-0.15</v>
      </c>
    </row>
    <row r="692" spans="2:4">
      <c r="B692" s="133">
        <v>43008</v>
      </c>
      <c r="C692" s="106">
        <v>-0.06</v>
      </c>
      <c r="D692" s="106">
        <v>0.18</v>
      </c>
    </row>
    <row r="693" spans="2:4">
      <c r="B693" s="133">
        <v>43009</v>
      </c>
      <c r="C693" s="106">
        <v>0.11</v>
      </c>
      <c r="D693" s="106">
        <v>0.1</v>
      </c>
    </row>
    <row r="694" spans="2:4">
      <c r="B694" s="133">
        <v>43010</v>
      </c>
      <c r="C694" s="106">
        <v>0.19</v>
      </c>
      <c r="D694" s="106">
        <v>0</v>
      </c>
    </row>
    <row r="695" spans="2:4">
      <c r="B695" s="133">
        <v>43011</v>
      </c>
      <c r="C695" s="106">
        <v>0.01</v>
      </c>
      <c r="D695" s="106">
        <v>-0.1</v>
      </c>
    </row>
    <row r="696" spans="2:4">
      <c r="B696" s="133">
        <v>43012</v>
      </c>
      <c r="C696" s="106">
        <v>-0.14000000000000001</v>
      </c>
      <c r="D696" s="106">
        <v>0.2</v>
      </c>
    </row>
    <row r="697" spans="2:4">
      <c r="B697" s="133">
        <v>43013</v>
      </c>
      <c r="C697" s="106">
        <v>0</v>
      </c>
      <c r="D697" s="106">
        <v>0.02</v>
      </c>
    </row>
    <row r="698" spans="2:4">
      <c r="B698" s="133">
        <v>43014</v>
      </c>
      <c r="C698" s="106">
        <v>0</v>
      </c>
      <c r="D698" s="106">
        <v>0.19</v>
      </c>
    </row>
    <row r="699" spans="2:4">
      <c r="B699" s="133">
        <v>43015</v>
      </c>
      <c r="C699" s="106">
        <v>-7.0000000000000007E-2</v>
      </c>
      <c r="D699" s="106">
        <v>0.01</v>
      </c>
    </row>
    <row r="700" spans="2:4">
      <c r="B700" s="133">
        <v>43016</v>
      </c>
      <c r="C700" s="106">
        <v>-0.13</v>
      </c>
      <c r="D700" s="106">
        <v>0.03</v>
      </c>
    </row>
    <row r="701" spans="2:4">
      <c r="B701" s="133">
        <v>43017</v>
      </c>
      <c r="C701" s="106">
        <v>0.01</v>
      </c>
      <c r="D701" s="106">
        <v>-0.04</v>
      </c>
    </row>
    <row r="702" spans="2:4">
      <c r="B702" s="133">
        <v>43018</v>
      </c>
      <c r="C702" s="106">
        <v>0.09</v>
      </c>
      <c r="D702" s="106">
        <v>0.01</v>
      </c>
    </row>
    <row r="703" spans="2:4">
      <c r="B703" s="133">
        <v>43019</v>
      </c>
      <c r="C703" s="106">
        <v>0.15</v>
      </c>
      <c r="D703" s="106">
        <v>-7.0000000000000007E-2</v>
      </c>
    </row>
    <row r="704" spans="2:4">
      <c r="B704" s="133">
        <v>43020</v>
      </c>
      <c r="C704" s="106">
        <v>-0.12</v>
      </c>
      <c r="D704" s="106">
        <v>-0.04</v>
      </c>
    </row>
    <row r="705" spans="2:4">
      <c r="B705" s="133">
        <v>43021</v>
      </c>
      <c r="C705" s="106">
        <v>7.0000000000000007E-2</v>
      </c>
      <c r="D705" s="106">
        <v>0.04</v>
      </c>
    </row>
    <row r="706" spans="2:4">
      <c r="B706" s="133">
        <v>43022</v>
      </c>
      <c r="C706" s="106">
        <v>-0.13</v>
      </c>
      <c r="D706" s="106">
        <v>0.01</v>
      </c>
    </row>
    <row r="707" spans="2:4">
      <c r="B707" s="133">
        <v>43023</v>
      </c>
      <c r="C707" s="106">
        <v>-0.15</v>
      </c>
      <c r="D707" s="106">
        <v>-0.04</v>
      </c>
    </row>
    <row r="708" spans="2:4">
      <c r="B708" s="133">
        <v>43024</v>
      </c>
      <c r="C708" s="106">
        <v>-0.12</v>
      </c>
      <c r="D708" s="106">
        <v>0.13</v>
      </c>
    </row>
    <row r="709" spans="2:4">
      <c r="B709" s="133">
        <v>43025</v>
      </c>
      <c r="C709" s="106">
        <v>0.01</v>
      </c>
      <c r="D709" s="106">
        <v>0.19</v>
      </c>
    </row>
    <row r="710" spans="2:4">
      <c r="B710" s="133">
        <v>43026</v>
      </c>
      <c r="C710" s="106">
        <v>-0.11</v>
      </c>
      <c r="D710" s="106">
        <v>7.0000000000000007E-2</v>
      </c>
    </row>
    <row r="711" spans="2:4">
      <c r="B711" s="133">
        <v>43027</v>
      </c>
      <c r="C711" s="106">
        <v>0.04</v>
      </c>
      <c r="D711" s="106">
        <v>0.08</v>
      </c>
    </row>
    <row r="712" spans="2:4">
      <c r="B712" s="133">
        <v>43028</v>
      </c>
      <c r="C712" s="106">
        <v>0.15</v>
      </c>
      <c r="D712" s="106">
        <v>-0.02</v>
      </c>
    </row>
    <row r="713" spans="2:4">
      <c r="B713" s="133">
        <v>43029</v>
      </c>
      <c r="C713" s="106">
        <v>7.0000000000000007E-2</v>
      </c>
      <c r="D713" s="106">
        <v>0.15</v>
      </c>
    </row>
    <row r="714" spans="2:4">
      <c r="B714" s="133">
        <v>43030</v>
      </c>
      <c r="C714" s="106">
        <v>0.05</v>
      </c>
      <c r="D714" s="106">
        <v>0.06</v>
      </c>
    </row>
    <row r="715" spans="2:4">
      <c r="B715" s="133">
        <v>43031</v>
      </c>
      <c r="C715" s="106">
        <v>0.09</v>
      </c>
      <c r="D715" s="106">
        <v>-0.01</v>
      </c>
    </row>
    <row r="716" spans="2:4">
      <c r="B716" s="133">
        <v>43032</v>
      </c>
      <c r="C716" s="106">
        <v>-0.15</v>
      </c>
      <c r="D716" s="106">
        <v>-0.05</v>
      </c>
    </row>
    <row r="717" spans="2:4">
      <c r="B717" s="133">
        <v>43033</v>
      </c>
      <c r="C717" s="106">
        <v>0.1</v>
      </c>
      <c r="D717" s="106">
        <v>-0.03</v>
      </c>
    </row>
    <row r="718" spans="2:4">
      <c r="B718" s="133">
        <v>43034</v>
      </c>
      <c r="C718" s="106">
        <v>-0.06</v>
      </c>
      <c r="D718" s="106">
        <v>-0.01</v>
      </c>
    </row>
    <row r="719" spans="2:4">
      <c r="B719" s="133">
        <v>43035</v>
      </c>
      <c r="C719" s="106">
        <v>-0.04</v>
      </c>
      <c r="D719" s="106">
        <v>0.05</v>
      </c>
    </row>
    <row r="720" spans="2:4">
      <c r="B720" s="133">
        <v>43036</v>
      </c>
      <c r="C720" s="106">
        <v>-0.09</v>
      </c>
      <c r="D720" s="106">
        <v>0.01</v>
      </c>
    </row>
    <row r="721" spans="2:4">
      <c r="B721" s="133">
        <v>43037</v>
      </c>
      <c r="C721" s="106">
        <v>-0.03</v>
      </c>
      <c r="D721" s="106">
        <v>-0.13</v>
      </c>
    </row>
    <row r="722" spans="2:4">
      <c r="B722" s="133">
        <v>43038</v>
      </c>
      <c r="C722" s="106">
        <v>-0.05</v>
      </c>
      <c r="D722" s="106">
        <v>0.18</v>
      </c>
    </row>
    <row r="723" spans="2:4">
      <c r="B723" s="133">
        <v>43039</v>
      </c>
      <c r="C723" s="106">
        <v>-0.04</v>
      </c>
      <c r="D723" s="106">
        <v>0.12</v>
      </c>
    </row>
    <row r="724" spans="2:4">
      <c r="B724" s="133">
        <v>43040</v>
      </c>
      <c r="C724" s="106">
        <v>0.16</v>
      </c>
      <c r="D724" s="106">
        <v>0.09</v>
      </c>
    </row>
    <row r="725" spans="2:4">
      <c r="B725" s="133">
        <v>43041</v>
      </c>
      <c r="C725" s="106">
        <v>0.17</v>
      </c>
      <c r="D725" s="106">
        <v>0.09</v>
      </c>
    </row>
    <row r="726" spans="2:4">
      <c r="B726" s="133">
        <v>43042</v>
      </c>
      <c r="C726" s="106">
        <v>0.09</v>
      </c>
      <c r="D726" s="106">
        <v>0.09</v>
      </c>
    </row>
    <row r="727" spans="2:4">
      <c r="B727" s="133">
        <v>43043</v>
      </c>
      <c r="C727" s="106">
        <v>0.05</v>
      </c>
      <c r="D727" s="106">
        <v>-0.02</v>
      </c>
    </row>
    <row r="728" spans="2:4">
      <c r="B728" s="133">
        <v>43044</v>
      </c>
      <c r="C728" s="106">
        <v>-0.05</v>
      </c>
      <c r="D728" s="106">
        <v>-0.11</v>
      </c>
    </row>
    <row r="729" spans="2:4">
      <c r="B729" s="133">
        <v>43045</v>
      </c>
      <c r="C729" s="106">
        <v>-0.03</v>
      </c>
      <c r="D729" s="106">
        <v>0.15</v>
      </c>
    </row>
    <row r="730" spans="2:4">
      <c r="B730" s="133">
        <v>43046</v>
      </c>
      <c r="C730" s="106">
        <v>0.05</v>
      </c>
      <c r="D730" s="106">
        <v>0.04</v>
      </c>
    </row>
    <row r="731" spans="2:4">
      <c r="B731" s="133">
        <v>43047</v>
      </c>
      <c r="C731" s="106">
        <v>7.0000000000000007E-2</v>
      </c>
      <c r="D731" s="106">
        <v>-0.02</v>
      </c>
    </row>
    <row r="732" spans="2:4">
      <c r="B732" s="133">
        <v>43048</v>
      </c>
      <c r="C732" s="106">
        <v>-0.1</v>
      </c>
      <c r="D732" s="106">
        <v>0.04</v>
      </c>
    </row>
    <row r="733" spans="2:4">
      <c r="B733" s="133">
        <v>43049</v>
      </c>
      <c r="C733" s="106">
        <v>0.17</v>
      </c>
      <c r="D733" s="106">
        <v>0.08</v>
      </c>
    </row>
    <row r="734" spans="2:4">
      <c r="B734" s="133">
        <v>43050</v>
      </c>
      <c r="C734" s="106">
        <v>-0.14000000000000001</v>
      </c>
      <c r="D734" s="106">
        <v>0.01</v>
      </c>
    </row>
    <row r="735" spans="2:4">
      <c r="B735" s="133">
        <v>43051</v>
      </c>
      <c r="C735" s="106">
        <v>0.18</v>
      </c>
      <c r="D735" s="106">
        <v>7.0000000000000007E-2</v>
      </c>
    </row>
    <row r="736" spans="2:4">
      <c r="B736" s="133">
        <v>43052</v>
      </c>
      <c r="C736" s="106">
        <v>-0.11</v>
      </c>
      <c r="D736" s="106">
        <v>0</v>
      </c>
    </row>
    <row r="737" spans="2:4">
      <c r="B737" s="133">
        <v>43053</v>
      </c>
      <c r="C737" s="106">
        <v>-0.13</v>
      </c>
      <c r="D737" s="106">
        <v>0.17</v>
      </c>
    </row>
    <row r="738" spans="2:4">
      <c r="B738" s="133">
        <v>43054</v>
      </c>
      <c r="C738" s="106">
        <v>0</v>
      </c>
      <c r="D738" s="106">
        <v>0.04</v>
      </c>
    </row>
    <row r="739" spans="2:4">
      <c r="B739" s="133">
        <v>43055</v>
      </c>
      <c r="C739" s="106">
        <v>0.15</v>
      </c>
      <c r="D739" s="106">
        <v>-0.01</v>
      </c>
    </row>
    <row r="740" spans="2:4">
      <c r="B740" s="133">
        <v>43056</v>
      </c>
      <c r="C740" s="106">
        <v>0.13</v>
      </c>
      <c r="D740" s="106">
        <v>0.04</v>
      </c>
    </row>
    <row r="741" spans="2:4">
      <c r="B741" s="133">
        <v>43057</v>
      </c>
      <c r="C741" s="106">
        <v>0.18</v>
      </c>
      <c r="D741" s="106">
        <v>0</v>
      </c>
    </row>
    <row r="742" spans="2:4">
      <c r="B742" s="133">
        <v>43058</v>
      </c>
      <c r="C742" s="106">
        <v>-0.1</v>
      </c>
      <c r="D742" s="106">
        <v>0.19</v>
      </c>
    </row>
    <row r="743" spans="2:4">
      <c r="B743" s="133">
        <v>43059</v>
      </c>
      <c r="C743" s="106">
        <v>0.01</v>
      </c>
      <c r="D743" s="106">
        <v>0.14000000000000001</v>
      </c>
    </row>
    <row r="744" spans="2:4">
      <c r="B744" s="133">
        <v>43060</v>
      </c>
      <c r="C744" s="106">
        <v>0.02</v>
      </c>
      <c r="D744" s="106">
        <v>0.11</v>
      </c>
    </row>
    <row r="745" spans="2:4">
      <c r="B745" s="133">
        <v>43061</v>
      </c>
      <c r="C745" s="106">
        <v>-0.11</v>
      </c>
      <c r="D745" s="106">
        <v>-0.13</v>
      </c>
    </row>
    <row r="746" spans="2:4">
      <c r="B746" s="133">
        <v>43062</v>
      </c>
      <c r="C746" s="106">
        <v>-0.12</v>
      </c>
      <c r="D746" s="106">
        <v>0.06</v>
      </c>
    </row>
    <row r="747" spans="2:4">
      <c r="B747" s="133">
        <v>43063</v>
      </c>
      <c r="C747" s="106">
        <v>-0.04</v>
      </c>
      <c r="D747" s="106">
        <v>0.17</v>
      </c>
    </row>
    <row r="748" spans="2:4">
      <c r="B748" s="133">
        <v>43064</v>
      </c>
      <c r="C748" s="106">
        <v>0.08</v>
      </c>
      <c r="D748" s="106">
        <v>-0.01</v>
      </c>
    </row>
    <row r="749" spans="2:4">
      <c r="B749" s="133">
        <v>43065</v>
      </c>
      <c r="C749" s="106">
        <v>0.06</v>
      </c>
      <c r="D749" s="106">
        <v>0.2</v>
      </c>
    </row>
    <row r="750" spans="2:4">
      <c r="B750" s="133">
        <v>43066</v>
      </c>
      <c r="C750" s="106">
        <v>-7.0000000000000007E-2</v>
      </c>
      <c r="D750" s="106">
        <v>0.12</v>
      </c>
    </row>
    <row r="751" spans="2:4">
      <c r="B751" s="133">
        <v>43067</v>
      </c>
      <c r="C751" s="106">
        <v>-7.0000000000000007E-2</v>
      </c>
      <c r="D751" s="106">
        <v>0.03</v>
      </c>
    </row>
    <row r="752" spans="2:4">
      <c r="B752" s="133">
        <v>43068</v>
      </c>
      <c r="C752" s="106">
        <v>0.01</v>
      </c>
      <c r="D752" s="106">
        <v>-0.1</v>
      </c>
    </row>
    <row r="753" spans="2:4">
      <c r="B753" s="133">
        <v>43069</v>
      </c>
      <c r="C753" s="106">
        <v>0.08</v>
      </c>
      <c r="D753" s="106">
        <v>0.06</v>
      </c>
    </row>
    <row r="754" spans="2:4">
      <c r="B754" s="133">
        <v>43070</v>
      </c>
      <c r="C754" s="106">
        <v>-0.04</v>
      </c>
      <c r="D754" s="106">
        <v>0.14000000000000001</v>
      </c>
    </row>
    <row r="755" spans="2:4">
      <c r="B755" s="133">
        <v>43071</v>
      </c>
      <c r="C755" s="106">
        <v>-0.06</v>
      </c>
      <c r="D755" s="106">
        <v>-0.03</v>
      </c>
    </row>
    <row r="756" spans="2:4">
      <c r="B756" s="133">
        <v>43072</v>
      </c>
      <c r="C756" s="106">
        <v>0.06</v>
      </c>
      <c r="D756" s="106">
        <v>0.01</v>
      </c>
    </row>
    <row r="757" spans="2:4">
      <c r="B757" s="133">
        <v>43073</v>
      </c>
      <c r="C757" s="106">
        <v>-0.12</v>
      </c>
      <c r="D757" s="106">
        <v>0.08</v>
      </c>
    </row>
    <row r="758" spans="2:4">
      <c r="B758" s="133">
        <v>43074</v>
      </c>
      <c r="C758" s="106">
        <v>-0.11</v>
      </c>
      <c r="D758" s="106">
        <v>-0.06</v>
      </c>
    </row>
    <row r="759" spans="2:4">
      <c r="B759" s="133">
        <v>43075</v>
      </c>
      <c r="C759" s="106">
        <v>-0.12</v>
      </c>
      <c r="D759" s="106">
        <v>0.14000000000000001</v>
      </c>
    </row>
    <row r="760" spans="2:4">
      <c r="B760" s="133">
        <v>43076</v>
      </c>
      <c r="C760" s="106">
        <v>-7.0000000000000007E-2</v>
      </c>
      <c r="D760" s="106">
        <v>-0.02</v>
      </c>
    </row>
    <row r="761" spans="2:4">
      <c r="B761" s="133">
        <v>43077</v>
      </c>
      <c r="C761" s="106">
        <v>-0.13</v>
      </c>
      <c r="D761" s="106">
        <v>0.14000000000000001</v>
      </c>
    </row>
    <row r="762" spans="2:4">
      <c r="B762" s="133">
        <v>43078</v>
      </c>
      <c r="C762" s="106">
        <v>-0.15</v>
      </c>
      <c r="D762" s="106">
        <v>0.17</v>
      </c>
    </row>
    <row r="763" spans="2:4">
      <c r="B763" s="133">
        <v>43079</v>
      </c>
      <c r="C763" s="106">
        <v>0.11</v>
      </c>
      <c r="D763" s="106">
        <v>0.09</v>
      </c>
    </row>
    <row r="764" spans="2:4">
      <c r="B764" s="133">
        <v>43080</v>
      </c>
      <c r="C764" s="106">
        <v>0.14000000000000001</v>
      </c>
      <c r="D764" s="106">
        <v>-0.06</v>
      </c>
    </row>
    <row r="765" spans="2:4">
      <c r="B765" s="133">
        <v>43081</v>
      </c>
      <c r="C765" s="106">
        <v>0.04</v>
      </c>
      <c r="D765" s="106">
        <v>0.14000000000000001</v>
      </c>
    </row>
    <row r="766" spans="2:4">
      <c r="B766" s="133">
        <v>43082</v>
      </c>
      <c r="C766" s="106">
        <v>-0.15</v>
      </c>
      <c r="D766" s="106">
        <v>0.09</v>
      </c>
    </row>
    <row r="767" spans="2:4">
      <c r="B767" s="133">
        <v>43083</v>
      </c>
      <c r="C767" s="106">
        <v>0.12</v>
      </c>
      <c r="D767" s="106">
        <v>-0.01</v>
      </c>
    </row>
    <row r="768" spans="2:4">
      <c r="B768" s="133">
        <v>43084</v>
      </c>
      <c r="C768" s="106">
        <v>0.05</v>
      </c>
      <c r="D768" s="106">
        <v>-0.13</v>
      </c>
    </row>
    <row r="769" spans="2:4">
      <c r="B769" s="133">
        <v>43085</v>
      </c>
      <c r="C769" s="106">
        <v>-0.1</v>
      </c>
      <c r="D769" s="106">
        <v>7.0000000000000007E-2</v>
      </c>
    </row>
    <row r="770" spans="2:4">
      <c r="B770" s="133">
        <v>43086</v>
      </c>
      <c r="C770" s="106">
        <v>-0.09</v>
      </c>
      <c r="D770" s="106">
        <v>-0.04</v>
      </c>
    </row>
    <row r="771" spans="2:4">
      <c r="B771" s="133">
        <v>43087</v>
      </c>
      <c r="C771" s="106">
        <v>-0.02</v>
      </c>
      <c r="D771" s="106">
        <v>0.2</v>
      </c>
    </row>
    <row r="772" spans="2:4">
      <c r="B772" s="133">
        <v>43088</v>
      </c>
      <c r="C772" s="106">
        <v>0.06</v>
      </c>
      <c r="D772" s="106">
        <v>0.08</v>
      </c>
    </row>
    <row r="773" spans="2:4">
      <c r="B773" s="133">
        <v>43089</v>
      </c>
      <c r="C773" s="106">
        <v>0.18</v>
      </c>
      <c r="D773" s="106">
        <v>0.03</v>
      </c>
    </row>
    <row r="774" spans="2:4">
      <c r="B774" s="133">
        <v>43090</v>
      </c>
      <c r="C774" s="106">
        <v>-0.01</v>
      </c>
      <c r="D774" s="106">
        <v>0.05</v>
      </c>
    </row>
    <row r="775" spans="2:4">
      <c r="B775" s="133">
        <v>43091</v>
      </c>
      <c r="C775" s="106">
        <v>0.1</v>
      </c>
      <c r="D775" s="106">
        <v>-0.15</v>
      </c>
    </row>
    <row r="776" spans="2:4">
      <c r="B776" s="133">
        <v>43092</v>
      </c>
      <c r="C776" s="106">
        <v>0.04</v>
      </c>
      <c r="D776" s="106">
        <v>0.12</v>
      </c>
    </row>
    <row r="777" spans="2:4">
      <c r="B777" s="133">
        <v>43093</v>
      </c>
      <c r="C777" s="106">
        <v>0.03</v>
      </c>
      <c r="D777" s="106">
        <v>0.14000000000000001</v>
      </c>
    </row>
    <row r="778" spans="2:4">
      <c r="B778" s="133">
        <v>43094</v>
      </c>
      <c r="C778" s="106">
        <v>0.09</v>
      </c>
      <c r="D778" s="106">
        <v>0</v>
      </c>
    </row>
    <row r="779" spans="2:4">
      <c r="B779" s="133">
        <v>43095</v>
      </c>
      <c r="C779" s="106">
        <v>0.01</v>
      </c>
      <c r="D779" s="106">
        <v>0.09</v>
      </c>
    </row>
    <row r="780" spans="2:4">
      <c r="B780" s="133">
        <v>43096</v>
      </c>
      <c r="C780" s="106">
        <v>7.0000000000000007E-2</v>
      </c>
      <c r="D780" s="106">
        <v>-0.01</v>
      </c>
    </row>
    <row r="781" spans="2:4">
      <c r="B781" s="133">
        <v>43097</v>
      </c>
      <c r="C781" s="106">
        <v>0.02</v>
      </c>
      <c r="D781" s="106">
        <v>0.16</v>
      </c>
    </row>
    <row r="782" spans="2:4">
      <c r="B782" s="133">
        <v>43098</v>
      </c>
      <c r="C782" s="106">
        <v>-0.06</v>
      </c>
      <c r="D782" s="106">
        <v>-0.04</v>
      </c>
    </row>
    <row r="783" spans="2:4">
      <c r="B783" s="133">
        <v>43099</v>
      </c>
      <c r="C783" s="106">
        <v>-0.02</v>
      </c>
      <c r="D783" s="106">
        <v>0.2</v>
      </c>
    </row>
    <row r="784" spans="2:4">
      <c r="B784" s="133">
        <v>43100</v>
      </c>
      <c r="C784" s="106">
        <v>0.08</v>
      </c>
      <c r="D784" s="106">
        <v>-0.09</v>
      </c>
    </row>
    <row r="785" spans="2:15" ht="15" thickBot="1"/>
    <row r="786" spans="2:15" ht="24" thickBot="1">
      <c r="B786" s="333" t="s">
        <v>803</v>
      </c>
      <c r="C786" s="334"/>
      <c r="D786" s="334"/>
      <c r="E786" s="334"/>
      <c r="F786" s="334"/>
      <c r="G786" s="334"/>
      <c r="H786" s="334"/>
      <c r="I786" s="334"/>
      <c r="J786" s="334"/>
      <c r="K786" s="334"/>
      <c r="L786" s="334"/>
      <c r="M786" s="334"/>
      <c r="N786" s="334"/>
      <c r="O786" s="335"/>
    </row>
    <row r="788" spans="2:15">
      <c r="F788" s="324" t="s">
        <v>804</v>
      </c>
      <c r="G788" s="325"/>
      <c r="H788" s="325"/>
      <c r="I788" s="325"/>
      <c r="J788" s="325"/>
      <c r="K788" s="326"/>
    </row>
    <row r="789" spans="2:15">
      <c r="F789" s="134" t="s">
        <v>140</v>
      </c>
      <c r="G789" s="134" t="s">
        <v>768</v>
      </c>
      <c r="H789" s="134" t="s">
        <v>769</v>
      </c>
      <c r="I789" s="134" t="s">
        <v>770</v>
      </c>
      <c r="J789" s="134" t="s">
        <v>771</v>
      </c>
      <c r="K789" s="134" t="s">
        <v>772</v>
      </c>
    </row>
    <row r="790" spans="2:15">
      <c r="F790" s="132" t="s">
        <v>773</v>
      </c>
      <c r="G790" s="108">
        <v>20000</v>
      </c>
      <c r="H790" s="108">
        <v>22000</v>
      </c>
      <c r="I790" s="108">
        <v>19000</v>
      </c>
      <c r="J790" s="108">
        <v>23000</v>
      </c>
      <c r="K790" s="108">
        <v>24000</v>
      </c>
    </row>
    <row r="791" spans="2:15">
      <c r="F791" s="132" t="s">
        <v>774</v>
      </c>
      <c r="G791" s="108">
        <v>14500</v>
      </c>
      <c r="H791" s="108">
        <v>14600</v>
      </c>
      <c r="I791" s="108">
        <v>14500</v>
      </c>
      <c r="J791" s="108">
        <v>14450</v>
      </c>
      <c r="K791" s="108">
        <v>16000</v>
      </c>
    </row>
    <row r="792" spans="2:15">
      <c r="F792" s="132" t="s">
        <v>775</v>
      </c>
      <c r="G792" s="108">
        <v>26000</v>
      </c>
      <c r="H792" s="108">
        <v>17000</v>
      </c>
      <c r="I792" s="108">
        <v>18000</v>
      </c>
      <c r="J792" s="108">
        <v>28000</v>
      </c>
      <c r="K792" s="108">
        <v>30000</v>
      </c>
    </row>
    <row r="793" spans="2:15">
      <c r="F793" s="132" t="s">
        <v>776</v>
      </c>
      <c r="G793" s="108">
        <v>5000</v>
      </c>
      <c r="H793" s="108">
        <v>3000</v>
      </c>
      <c r="I793" s="108">
        <v>3500</v>
      </c>
      <c r="J793" s="108">
        <v>6000</v>
      </c>
      <c r="K793" s="108">
        <v>2000</v>
      </c>
    </row>
    <row r="813" spans="7:11">
      <c r="G813" s="131" t="s">
        <v>450</v>
      </c>
      <c r="H813" s="131" t="s">
        <v>805</v>
      </c>
      <c r="I813" s="131" t="s">
        <v>806</v>
      </c>
      <c r="J813" s="131" t="s">
        <v>807</v>
      </c>
      <c r="K813" s="131" t="s">
        <v>808</v>
      </c>
    </row>
    <row r="814" spans="7:11">
      <c r="G814" s="132" t="s">
        <v>143</v>
      </c>
      <c r="H814" s="108">
        <v>1000</v>
      </c>
      <c r="I814" s="108">
        <v>1200</v>
      </c>
      <c r="J814" s="108">
        <v>1100</v>
      </c>
      <c r="K814" s="108">
        <v>1250</v>
      </c>
    </row>
    <row r="815" spans="7:11">
      <c r="G815" s="132" t="s">
        <v>142</v>
      </c>
      <c r="H815" s="108">
        <v>800</v>
      </c>
      <c r="I815" s="108">
        <v>900</v>
      </c>
      <c r="J815" s="108">
        <v>1200</v>
      </c>
      <c r="K815" s="108">
        <v>1800</v>
      </c>
    </row>
    <row r="816" spans="7:11">
      <c r="G816" s="132" t="s">
        <v>141</v>
      </c>
      <c r="H816" s="108">
        <v>600</v>
      </c>
      <c r="I816" s="108">
        <v>2400</v>
      </c>
      <c r="J816" s="108">
        <v>2300</v>
      </c>
      <c r="K816" s="108">
        <v>200</v>
      </c>
    </row>
    <row r="817" spans="7:11">
      <c r="G817" s="132" t="s">
        <v>144</v>
      </c>
      <c r="H817" s="108">
        <v>500</v>
      </c>
      <c r="I817" s="108">
        <v>500</v>
      </c>
      <c r="J817" s="108">
        <v>500</v>
      </c>
      <c r="K817" s="108">
        <v>500</v>
      </c>
    </row>
    <row r="835" spans="2:15" ht="15" thickBot="1"/>
    <row r="836" spans="2:15" ht="24" thickBot="1">
      <c r="B836" s="333" t="s">
        <v>809</v>
      </c>
      <c r="C836" s="334"/>
      <c r="D836" s="334"/>
      <c r="E836" s="334"/>
      <c r="F836" s="334"/>
      <c r="G836" s="334"/>
      <c r="H836" s="334"/>
      <c r="I836" s="334"/>
      <c r="J836" s="334"/>
      <c r="K836" s="334"/>
      <c r="L836" s="334"/>
      <c r="M836" s="334"/>
      <c r="N836" s="334"/>
      <c r="O836" s="335"/>
    </row>
    <row r="838" spans="2:15" s="135" customFormat="1" ht="28.8">
      <c r="G838" s="136" t="s">
        <v>578</v>
      </c>
      <c r="H838" s="136" t="s">
        <v>152</v>
      </c>
      <c r="I838" s="136" t="s">
        <v>810</v>
      </c>
      <c r="J838" s="136" t="s">
        <v>811</v>
      </c>
    </row>
    <row r="839" spans="2:15">
      <c r="G839" s="132" t="s">
        <v>812</v>
      </c>
      <c r="H839" s="137">
        <v>25016</v>
      </c>
      <c r="I839" s="108">
        <v>417</v>
      </c>
      <c r="J839" s="108">
        <v>450</v>
      </c>
      <c r="K839" s="138"/>
      <c r="L839" s="139"/>
      <c r="M839" s="140"/>
      <c r="N839" s="140"/>
    </row>
    <row r="840" spans="2:15">
      <c r="G840" s="132" t="s">
        <v>813</v>
      </c>
      <c r="H840" s="141">
        <v>31600</v>
      </c>
      <c r="I840" s="108">
        <v>226</v>
      </c>
      <c r="J840" s="108">
        <v>237</v>
      </c>
    </row>
    <row r="841" spans="2:15">
      <c r="G841" s="132" t="s">
        <v>814</v>
      </c>
      <c r="H841" s="141">
        <v>30812</v>
      </c>
      <c r="I841" s="108">
        <v>503</v>
      </c>
      <c r="J841" s="108">
        <v>543</v>
      </c>
    </row>
    <row r="842" spans="2:15">
      <c r="G842" s="132" t="s">
        <v>815</v>
      </c>
      <c r="H842" s="141">
        <v>30090</v>
      </c>
      <c r="I842" s="108">
        <v>393</v>
      </c>
      <c r="J842" s="108">
        <v>424</v>
      </c>
    </row>
    <row r="843" spans="2:15">
      <c r="G843" s="132" t="s">
        <v>772</v>
      </c>
      <c r="H843" s="141">
        <v>28061</v>
      </c>
      <c r="I843" s="108">
        <v>634</v>
      </c>
      <c r="J843" s="108">
        <v>635</v>
      </c>
    </row>
    <row r="844" spans="2:15">
      <c r="G844" s="132" t="s">
        <v>816</v>
      </c>
      <c r="H844" s="141">
        <v>25853</v>
      </c>
      <c r="I844" s="108">
        <v>329</v>
      </c>
      <c r="J844" s="108">
        <v>339</v>
      </c>
    </row>
    <row r="845" spans="2:15">
      <c r="G845" s="132" t="s">
        <v>817</v>
      </c>
      <c r="H845" s="141">
        <v>32098</v>
      </c>
      <c r="I845" s="108">
        <v>216</v>
      </c>
      <c r="J845" s="108">
        <v>233</v>
      </c>
    </row>
    <row r="846" spans="2:15">
      <c r="G846" s="132" t="s">
        <v>818</v>
      </c>
      <c r="H846" s="141">
        <v>32050</v>
      </c>
      <c r="I846" s="108">
        <v>595</v>
      </c>
      <c r="J846" s="108">
        <v>613</v>
      </c>
    </row>
    <row r="847" spans="2:15">
      <c r="G847" s="132" t="s">
        <v>819</v>
      </c>
      <c r="H847" s="141">
        <v>26327</v>
      </c>
      <c r="I847" s="108">
        <v>571</v>
      </c>
      <c r="J847" s="108">
        <v>572</v>
      </c>
    </row>
    <row r="848" spans="2:15">
      <c r="G848" s="132" t="s">
        <v>820</v>
      </c>
      <c r="H848" s="141">
        <v>26566</v>
      </c>
      <c r="I848" s="108">
        <v>293</v>
      </c>
      <c r="J848" s="108">
        <v>302</v>
      </c>
    </row>
    <row r="849" spans="7:10">
      <c r="G849" s="132" t="s">
        <v>821</v>
      </c>
      <c r="H849" s="141">
        <v>26237</v>
      </c>
      <c r="I849" s="108">
        <v>599</v>
      </c>
      <c r="J849" s="108">
        <v>665</v>
      </c>
    </row>
    <row r="850" spans="7:10">
      <c r="G850" s="132" t="s">
        <v>822</v>
      </c>
      <c r="H850" s="141">
        <v>32585</v>
      </c>
      <c r="I850" s="108">
        <v>253</v>
      </c>
      <c r="J850" s="108">
        <v>291</v>
      </c>
    </row>
    <row r="871" spans="5:13">
      <c r="E871" s="131" t="s">
        <v>152</v>
      </c>
      <c r="F871" s="131" t="s">
        <v>823</v>
      </c>
      <c r="G871" s="131" t="s">
        <v>824</v>
      </c>
      <c r="H871" s="131" t="s">
        <v>825</v>
      </c>
      <c r="I871" s="131" t="s">
        <v>826</v>
      </c>
      <c r="J871" s="131" t="s">
        <v>827</v>
      </c>
      <c r="K871" s="131" t="s">
        <v>828</v>
      </c>
      <c r="L871" s="131" t="s">
        <v>829</v>
      </c>
      <c r="M871" s="131" t="s">
        <v>830</v>
      </c>
    </row>
    <row r="872" spans="5:13">
      <c r="E872" s="132" t="s">
        <v>141</v>
      </c>
      <c r="F872" s="108">
        <v>12000</v>
      </c>
      <c r="G872" s="108">
        <v>13000</v>
      </c>
      <c r="H872" s="108">
        <v>12500</v>
      </c>
      <c r="I872" s="108">
        <v>14500</v>
      </c>
      <c r="J872" s="108">
        <v>17300</v>
      </c>
      <c r="K872" s="108">
        <v>16000</v>
      </c>
      <c r="L872" s="108">
        <v>18200</v>
      </c>
      <c r="M872" s="108">
        <v>22000</v>
      </c>
    </row>
    <row r="873" spans="5:13">
      <c r="E873" s="132" t="s">
        <v>142</v>
      </c>
      <c r="F873" s="108">
        <v>9000</v>
      </c>
      <c r="G873" s="108">
        <v>9000</v>
      </c>
      <c r="H873" s="108">
        <v>9000</v>
      </c>
      <c r="I873" s="108">
        <v>9500</v>
      </c>
      <c r="J873" s="108">
        <v>9500</v>
      </c>
      <c r="K873" s="108">
        <v>9500</v>
      </c>
      <c r="L873" s="108">
        <v>10000</v>
      </c>
      <c r="M873" s="108">
        <v>9000</v>
      </c>
    </row>
    <row r="874" spans="5:13">
      <c r="E874" s="132" t="s">
        <v>144</v>
      </c>
      <c r="F874" s="108">
        <v>28000</v>
      </c>
      <c r="G874" s="108">
        <v>27500</v>
      </c>
      <c r="H874" s="108">
        <v>24000</v>
      </c>
      <c r="I874" s="108">
        <v>25000</v>
      </c>
      <c r="J874" s="108">
        <v>24500</v>
      </c>
      <c r="K874" s="108">
        <v>24750</v>
      </c>
      <c r="L874" s="108">
        <v>28000</v>
      </c>
      <c r="M874" s="108">
        <v>29000</v>
      </c>
    </row>
    <row r="875" spans="5:13">
      <c r="E875" s="132" t="s">
        <v>143</v>
      </c>
      <c r="F875" s="108">
        <v>18000</v>
      </c>
      <c r="G875" s="108">
        <v>8000</v>
      </c>
      <c r="H875" s="108">
        <v>7000</v>
      </c>
      <c r="I875" s="108">
        <v>22000</v>
      </c>
      <c r="J875" s="108">
        <v>13000</v>
      </c>
      <c r="K875" s="108">
        <v>14500</v>
      </c>
      <c r="L875" s="108">
        <v>16500</v>
      </c>
      <c r="M875" s="108">
        <v>17000</v>
      </c>
    </row>
    <row r="893" spans="2:15" ht="15" thickBot="1"/>
    <row r="894" spans="2:15" ht="24" thickBot="1">
      <c r="B894" s="333" t="s">
        <v>831</v>
      </c>
      <c r="C894" s="334"/>
      <c r="D894" s="334"/>
      <c r="E894" s="334"/>
      <c r="F894" s="334"/>
      <c r="G894" s="334"/>
      <c r="H894" s="334"/>
      <c r="I894" s="334"/>
      <c r="J894" s="334"/>
      <c r="K894" s="334"/>
      <c r="L894" s="334"/>
      <c r="M894" s="334"/>
      <c r="N894" s="334"/>
      <c r="O894" s="335"/>
    </row>
    <row r="896" spans="2:15" s="142" customFormat="1" ht="28.8">
      <c r="F896" s="136" t="s">
        <v>140</v>
      </c>
      <c r="G896" s="136" t="s">
        <v>832</v>
      </c>
      <c r="H896" s="136" t="s">
        <v>450</v>
      </c>
      <c r="I896" s="136" t="s">
        <v>833</v>
      </c>
      <c r="J896" s="136" t="s">
        <v>834</v>
      </c>
      <c r="K896" s="136" t="s">
        <v>835</v>
      </c>
    </row>
    <row r="897" spans="6:11">
      <c r="F897" s="106" t="s">
        <v>836</v>
      </c>
      <c r="G897" s="108">
        <v>11500000</v>
      </c>
      <c r="H897" s="108">
        <v>10000000</v>
      </c>
      <c r="I897" s="108">
        <v>1500000</v>
      </c>
      <c r="J897" s="143">
        <f>H897/G897</f>
        <v>0.86956521739130432</v>
      </c>
      <c r="K897" s="143">
        <f>1-J897</f>
        <v>0.13043478260869568</v>
      </c>
    </row>
    <row r="898" spans="6:11">
      <c r="F898" s="106" t="s">
        <v>774</v>
      </c>
      <c r="G898" s="108">
        <v>10000000</v>
      </c>
      <c r="H898" s="108">
        <v>5250000</v>
      </c>
      <c r="I898" s="108">
        <v>4750000</v>
      </c>
      <c r="J898" s="143">
        <f>H898/G898</f>
        <v>0.52500000000000002</v>
      </c>
      <c r="K898" s="143">
        <f>1-J898</f>
        <v>0.47499999999999998</v>
      </c>
    </row>
    <row r="899" spans="6:11">
      <c r="F899" s="106" t="s">
        <v>837</v>
      </c>
      <c r="G899" s="108">
        <v>9500000</v>
      </c>
      <c r="H899" s="108">
        <v>7300000</v>
      </c>
      <c r="I899" s="108">
        <v>2200000</v>
      </c>
      <c r="J899" s="143">
        <f>H899/G899</f>
        <v>0.76842105263157889</v>
      </c>
      <c r="K899" s="143">
        <f>1-J899</f>
        <v>0.23157894736842111</v>
      </c>
    </row>
    <row r="900" spans="6:11">
      <c r="F900" s="106" t="s">
        <v>775</v>
      </c>
      <c r="G900" s="108">
        <v>8500000</v>
      </c>
      <c r="H900" s="108">
        <v>4900000</v>
      </c>
      <c r="I900" s="108">
        <v>3600000</v>
      </c>
      <c r="J900" s="143">
        <f>H900/G900</f>
        <v>0.57647058823529407</v>
      </c>
      <c r="K900" s="143">
        <f>1-J900</f>
        <v>0.42352941176470593</v>
      </c>
    </row>
    <row r="921" spans="2:15" ht="15" thickBot="1"/>
    <row r="922" spans="2:15" ht="24" thickBot="1">
      <c r="B922" s="333" t="s">
        <v>838</v>
      </c>
      <c r="C922" s="334"/>
      <c r="D922" s="334"/>
      <c r="E922" s="334"/>
      <c r="F922" s="334"/>
      <c r="G922" s="334"/>
      <c r="H922" s="334"/>
      <c r="I922" s="334"/>
      <c r="J922" s="334"/>
      <c r="K922" s="334"/>
      <c r="L922" s="334"/>
      <c r="M922" s="334"/>
      <c r="N922" s="334"/>
      <c r="O922" s="335"/>
    </row>
    <row r="923" spans="2:15" ht="15" thickBot="1"/>
    <row r="924" spans="2:15" ht="15" thickBot="1">
      <c r="H924" s="144" t="s">
        <v>577</v>
      </c>
      <c r="I924" s="145" t="s">
        <v>839</v>
      </c>
    </row>
    <row r="925" spans="2:15">
      <c r="H925" s="88" t="s">
        <v>840</v>
      </c>
      <c r="I925" s="146">
        <v>100000</v>
      </c>
      <c r="J925" s="147"/>
    </row>
    <row r="926" spans="2:15">
      <c r="H926" s="94" t="s">
        <v>841</v>
      </c>
      <c r="I926" s="148">
        <v>-25000</v>
      </c>
      <c r="J926" s="147"/>
    </row>
    <row r="927" spans="2:15">
      <c r="H927" s="94" t="s">
        <v>842</v>
      </c>
      <c r="I927" s="148">
        <v>10000</v>
      </c>
      <c r="J927" s="147"/>
    </row>
    <row r="928" spans="2:15">
      <c r="H928" s="94" t="s">
        <v>843</v>
      </c>
      <c r="I928" s="148">
        <v>14000</v>
      </c>
      <c r="J928" s="147"/>
    </row>
    <row r="929" spans="8:10">
      <c r="H929" s="94" t="s">
        <v>844</v>
      </c>
      <c r="I929" s="148">
        <v>-15000</v>
      </c>
      <c r="J929" s="147"/>
    </row>
    <row r="930" spans="8:10">
      <c r="H930" s="94" t="s">
        <v>845</v>
      </c>
      <c r="I930" s="148">
        <v>-5000</v>
      </c>
      <c r="J930" s="147"/>
    </row>
    <row r="931" spans="8:10">
      <c r="H931" s="94" t="s">
        <v>846</v>
      </c>
      <c r="I931" s="148">
        <v>7000</v>
      </c>
      <c r="J931" s="147"/>
    </row>
    <row r="932" spans="8:10">
      <c r="H932" s="94" t="s">
        <v>847</v>
      </c>
      <c r="I932" s="148">
        <v>8500</v>
      </c>
      <c r="J932" s="147"/>
    </row>
    <row r="933" spans="8:10">
      <c r="H933" s="94" t="s">
        <v>848</v>
      </c>
      <c r="I933" s="148">
        <v>-10000</v>
      </c>
      <c r="J933" s="147"/>
    </row>
    <row r="934" spans="8:10">
      <c r="H934" s="94" t="s">
        <v>849</v>
      </c>
      <c r="I934" s="148">
        <v>-16000</v>
      </c>
      <c r="J934" s="147"/>
    </row>
    <row r="935" spans="8:10" ht="15" thickBot="1">
      <c r="H935" s="149" t="s">
        <v>850</v>
      </c>
      <c r="I935" s="150">
        <v>10000</v>
      </c>
      <c r="J935" s="147"/>
    </row>
    <row r="936" spans="8:10" ht="15" thickBot="1">
      <c r="H936" s="151" t="s">
        <v>851</v>
      </c>
      <c r="I936" s="152">
        <v>78500</v>
      </c>
      <c r="J936" s="147"/>
    </row>
    <row r="966" spans="2:15" ht="15" thickBot="1"/>
    <row r="967" spans="2:15" ht="24" thickBot="1">
      <c r="B967" s="333" t="s">
        <v>852</v>
      </c>
      <c r="C967" s="334"/>
      <c r="D967" s="334"/>
      <c r="E967" s="334"/>
      <c r="F967" s="334"/>
      <c r="G967" s="334"/>
      <c r="H967" s="334"/>
      <c r="I967" s="334"/>
      <c r="J967" s="334"/>
      <c r="K967" s="334"/>
      <c r="L967" s="334"/>
      <c r="M967" s="334"/>
      <c r="N967" s="334"/>
      <c r="O967" s="335"/>
    </row>
    <row r="969" spans="2:15">
      <c r="H969" s="131" t="s">
        <v>853</v>
      </c>
      <c r="I969" s="131" t="s">
        <v>854</v>
      </c>
    </row>
    <row r="970" spans="2:15">
      <c r="H970" s="106" t="s">
        <v>855</v>
      </c>
      <c r="I970" s="106">
        <v>1375</v>
      </c>
    </row>
    <row r="971" spans="2:15">
      <c r="H971" s="106" t="s">
        <v>856</v>
      </c>
      <c r="I971" s="106">
        <v>1122</v>
      </c>
    </row>
    <row r="972" spans="2:15">
      <c r="H972" s="106" t="s">
        <v>857</v>
      </c>
      <c r="I972" s="106">
        <v>852</v>
      </c>
    </row>
    <row r="973" spans="2:15">
      <c r="H973" s="106" t="s">
        <v>858</v>
      </c>
      <c r="I973" s="106">
        <v>623</v>
      </c>
    </row>
    <row r="974" spans="2:15">
      <c r="H974" s="106" t="s">
        <v>859</v>
      </c>
      <c r="I974" s="106">
        <v>401</v>
      </c>
    </row>
    <row r="975" spans="2:15">
      <c r="H975" s="106" t="s">
        <v>860</v>
      </c>
      <c r="I975" s="106">
        <v>189</v>
      </c>
    </row>
    <row r="998" spans="2:15" ht="15" thickBot="1"/>
    <row r="999" spans="2:15" ht="24" thickBot="1">
      <c r="B999" s="333" t="s">
        <v>861</v>
      </c>
      <c r="C999" s="334"/>
      <c r="D999" s="334"/>
      <c r="E999" s="334"/>
      <c r="F999" s="334"/>
      <c r="G999" s="334"/>
      <c r="H999" s="334"/>
      <c r="I999" s="334"/>
      <c r="J999" s="334"/>
      <c r="K999" s="334"/>
      <c r="L999" s="334"/>
      <c r="M999" s="334"/>
      <c r="N999" s="334"/>
      <c r="O999" s="335"/>
    </row>
    <row r="1000" spans="2:15" ht="15" thickBot="1"/>
    <row r="1001" spans="2:15" ht="15" thickBot="1">
      <c r="G1001" s="144" t="s">
        <v>862</v>
      </c>
      <c r="H1001" s="153" t="s">
        <v>863</v>
      </c>
      <c r="I1001" s="153" t="s">
        <v>646</v>
      </c>
      <c r="J1001" s="145" t="s">
        <v>864</v>
      </c>
    </row>
    <row r="1002" spans="2:15">
      <c r="G1002" s="88" t="s">
        <v>512</v>
      </c>
      <c r="H1002" s="78">
        <v>48</v>
      </c>
      <c r="I1002" s="154">
        <v>60894.11</v>
      </c>
      <c r="J1002" s="155">
        <f>I1002/$I$1010</f>
        <v>0.11300821406070995</v>
      </c>
    </row>
    <row r="1003" spans="2:15">
      <c r="G1003" s="94" t="s">
        <v>482</v>
      </c>
      <c r="H1003" s="92">
        <v>46</v>
      </c>
      <c r="I1003" s="108">
        <v>102074.29</v>
      </c>
      <c r="J1003" s="156">
        <f t="shared" ref="J1003:J1009" si="0">I1003/$I$1010</f>
        <v>0.18943101745661417</v>
      </c>
    </row>
    <row r="1004" spans="2:15">
      <c r="G1004" s="94" t="s">
        <v>558</v>
      </c>
      <c r="H1004" s="92">
        <v>45</v>
      </c>
      <c r="I1004" s="108">
        <v>45544.19</v>
      </c>
      <c r="J1004" s="156">
        <f t="shared" si="0"/>
        <v>8.4521599424667596E-2</v>
      </c>
    </row>
    <row r="1005" spans="2:15">
      <c r="G1005" s="94" t="s">
        <v>499</v>
      </c>
      <c r="H1005" s="92">
        <v>39</v>
      </c>
      <c r="I1005" s="108">
        <v>55277.560000000005</v>
      </c>
      <c r="J1005" s="156">
        <f t="shared" si="0"/>
        <v>0.10258493527918773</v>
      </c>
    </row>
    <row r="1006" spans="2:15">
      <c r="G1006" s="94" t="s">
        <v>526</v>
      </c>
      <c r="H1006" s="92">
        <v>38</v>
      </c>
      <c r="I1006" s="108">
        <v>154749.75</v>
      </c>
      <c r="J1006" s="156">
        <f t="shared" si="0"/>
        <v>0.28718693604096274</v>
      </c>
    </row>
    <row r="1007" spans="2:15">
      <c r="G1007" s="94" t="s">
        <v>537</v>
      </c>
      <c r="H1007" s="92">
        <v>28</v>
      </c>
      <c r="I1007" s="108">
        <v>25948.82</v>
      </c>
      <c r="J1007" s="156">
        <f t="shared" si="0"/>
        <v>4.8156214208284372E-2</v>
      </c>
    </row>
    <row r="1008" spans="2:15">
      <c r="G1008" s="94" t="s">
        <v>545</v>
      </c>
      <c r="H1008" s="92">
        <v>23</v>
      </c>
      <c r="I1008" s="108">
        <v>81338.06</v>
      </c>
      <c r="J1008" s="156">
        <f t="shared" si="0"/>
        <v>0.15094840692741662</v>
      </c>
    </row>
    <row r="1009" spans="7:10" ht="15" thickBot="1">
      <c r="G1009" s="100" t="s">
        <v>552</v>
      </c>
      <c r="H1009" s="99">
        <v>19</v>
      </c>
      <c r="I1009" s="157">
        <v>13019.98</v>
      </c>
      <c r="J1009" s="158">
        <f t="shared" si="0"/>
        <v>2.4162676602156798E-2</v>
      </c>
    </row>
    <row r="1010" spans="7:10" ht="15" thickBot="1">
      <c r="G1010" s="159"/>
      <c r="H1010" s="160">
        <f>SUM(H1002:H1009)</f>
        <v>286</v>
      </c>
      <c r="I1010" s="161">
        <f>SUM(I1002:I1009)</f>
        <v>538846.76</v>
      </c>
      <c r="J1010" s="162">
        <f>SUM(J1002:J1009)</f>
        <v>1</v>
      </c>
    </row>
  </sheetData>
  <mergeCells count="11">
    <mergeCell ref="B836:O836"/>
    <mergeCell ref="B894:O894"/>
    <mergeCell ref="B922:O922"/>
    <mergeCell ref="B967:O967"/>
    <mergeCell ref="B999:O999"/>
    <mergeCell ref="F788:K788"/>
    <mergeCell ref="B2:O2"/>
    <mergeCell ref="B3:E3"/>
    <mergeCell ref="G3:O3"/>
    <mergeCell ref="B28:O28"/>
    <mergeCell ref="B786:O786"/>
  </mergeCells>
  <pageMargins left="0.7" right="0.7" top="0.75" bottom="0.75" header="0.3" footer="0.3"/>
  <pageSetup orientation="portrait" verticalDpi="30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AB859-6D81-46FA-B98B-F7190A733995}">
  <sheetPr codeName="Sheet25">
    <tabColor rgb="FFFFC000"/>
  </sheetPr>
  <dimension ref="A1:O287"/>
  <sheetViews>
    <sheetView showOutlineSymbols="0" showWhiteSpace="0" workbookViewId="0"/>
  </sheetViews>
  <sheetFormatPr defaultRowHeight="14.4"/>
  <cols>
    <col min="1" max="1" width="13.21875" bestFit="1" customWidth="1"/>
    <col min="2" max="2" width="29.77734375" bestFit="1" customWidth="1"/>
    <col min="3" max="3" width="8.77734375" bestFit="1" customWidth="1"/>
    <col min="4" max="4" width="7.44140625" bestFit="1" customWidth="1"/>
  </cols>
  <sheetData>
    <row r="1" spans="1:15">
      <c r="A1" s="64" t="s">
        <v>480</v>
      </c>
      <c r="B1" s="64" t="s">
        <v>78</v>
      </c>
      <c r="C1" s="64" t="s">
        <v>152</v>
      </c>
      <c r="D1" s="64" t="s">
        <v>481</v>
      </c>
    </row>
    <row r="2" spans="1:15">
      <c r="A2" s="16" t="s">
        <v>482</v>
      </c>
      <c r="B2" s="16" t="s">
        <v>483</v>
      </c>
      <c r="C2" s="16">
        <v>705.6</v>
      </c>
      <c r="D2" s="16" t="s">
        <v>484</v>
      </c>
    </row>
    <row r="3" spans="1:15">
      <c r="A3" s="16" t="s">
        <v>482</v>
      </c>
      <c r="B3" s="16" t="s">
        <v>483</v>
      </c>
      <c r="C3" s="16">
        <v>878.4</v>
      </c>
      <c r="D3" s="16" t="s">
        <v>485</v>
      </c>
      <c r="F3" s="79" t="s">
        <v>1018</v>
      </c>
      <c r="G3" s="65" t="s">
        <v>1019</v>
      </c>
      <c r="H3" s="65"/>
      <c r="I3" s="65"/>
      <c r="J3" s="65"/>
      <c r="K3" s="65"/>
      <c r="L3" s="65"/>
      <c r="M3" s="65"/>
      <c r="N3" s="65"/>
      <c r="O3" s="65"/>
    </row>
    <row r="4" spans="1:15">
      <c r="A4" s="16" t="s">
        <v>482</v>
      </c>
      <c r="B4" s="16" t="s">
        <v>483</v>
      </c>
      <c r="C4" s="16">
        <v>1174.5</v>
      </c>
      <c r="D4" s="16" t="s">
        <v>486</v>
      </c>
      <c r="F4" s="79" t="s">
        <v>1020</v>
      </c>
      <c r="G4" s="65" t="s">
        <v>1021</v>
      </c>
      <c r="H4" s="65"/>
      <c r="I4" s="65"/>
      <c r="J4" s="65"/>
      <c r="K4" s="65"/>
      <c r="L4" s="65"/>
      <c r="M4" s="65"/>
      <c r="N4" s="65"/>
      <c r="O4" s="65"/>
    </row>
    <row r="5" spans="1:15">
      <c r="A5" s="16" t="s">
        <v>482</v>
      </c>
      <c r="B5" s="16" t="s">
        <v>483</v>
      </c>
      <c r="C5" s="16">
        <v>2128.5</v>
      </c>
      <c r="D5" s="16" t="s">
        <v>487</v>
      </c>
      <c r="F5" s="79" t="s">
        <v>1022</v>
      </c>
      <c r="G5" s="65" t="s">
        <v>1023</v>
      </c>
      <c r="H5" s="65"/>
      <c r="I5" s="65"/>
      <c r="J5" s="65"/>
      <c r="K5" s="65"/>
      <c r="L5" s="65"/>
      <c r="M5" s="65"/>
      <c r="N5" s="65"/>
      <c r="O5" s="65"/>
    </row>
    <row r="6" spans="1:15">
      <c r="A6" s="16" t="s">
        <v>482</v>
      </c>
      <c r="B6" s="16" t="s">
        <v>488</v>
      </c>
      <c r="C6" s="16">
        <v>2720.8</v>
      </c>
      <c r="D6" s="16" t="s">
        <v>484</v>
      </c>
      <c r="F6" s="79" t="s">
        <v>1024</v>
      </c>
      <c r="G6" s="65" t="s">
        <v>1025</v>
      </c>
      <c r="H6" s="65"/>
      <c r="I6" s="65"/>
      <c r="J6" s="65"/>
      <c r="K6" s="65"/>
      <c r="L6" s="65"/>
      <c r="M6" s="65"/>
      <c r="N6" s="65"/>
      <c r="O6" s="65"/>
    </row>
    <row r="7" spans="1:15">
      <c r="A7" s="16" t="s">
        <v>482</v>
      </c>
      <c r="B7" s="16" t="s">
        <v>488</v>
      </c>
      <c r="C7" s="16">
        <v>228</v>
      </c>
      <c r="D7" s="16" t="s">
        <v>485</v>
      </c>
      <c r="F7" s="79" t="s">
        <v>1026</v>
      </c>
      <c r="G7" s="65" t="s">
        <v>1027</v>
      </c>
      <c r="H7" s="65"/>
      <c r="I7" s="65"/>
      <c r="J7" s="65"/>
      <c r="K7" s="65"/>
      <c r="L7" s="65"/>
      <c r="M7" s="65"/>
      <c r="N7" s="65"/>
      <c r="O7" s="65"/>
    </row>
    <row r="8" spans="1:15">
      <c r="A8" s="16" t="s">
        <v>482</v>
      </c>
      <c r="B8" s="16" t="s">
        <v>488</v>
      </c>
      <c r="C8" s="16">
        <v>2061.5</v>
      </c>
      <c r="D8" s="16" t="s">
        <v>486</v>
      </c>
      <c r="F8" s="79"/>
      <c r="G8" s="65"/>
      <c r="H8" s="65"/>
      <c r="I8" s="65"/>
      <c r="J8" s="65"/>
      <c r="K8" s="65"/>
      <c r="L8" s="65"/>
      <c r="M8" s="65"/>
      <c r="N8" s="65"/>
      <c r="O8" s="65"/>
    </row>
    <row r="9" spans="1:15">
      <c r="A9" s="16" t="s">
        <v>482</v>
      </c>
      <c r="B9" s="16" t="s">
        <v>488</v>
      </c>
      <c r="C9" s="16">
        <v>2028.25</v>
      </c>
      <c r="D9" s="16" t="s">
        <v>487</v>
      </c>
    </row>
    <row r="10" spans="1:15">
      <c r="A10" s="16" t="s">
        <v>482</v>
      </c>
      <c r="B10" s="16" t="s">
        <v>489</v>
      </c>
      <c r="C10" s="16">
        <v>590.4</v>
      </c>
      <c r="D10" s="16" t="s">
        <v>484</v>
      </c>
    </row>
    <row r="11" spans="1:15">
      <c r="A11" s="16" t="s">
        <v>482</v>
      </c>
      <c r="B11" s="16" t="s">
        <v>489</v>
      </c>
      <c r="C11" s="16">
        <v>360</v>
      </c>
      <c r="D11" s="16" t="s">
        <v>485</v>
      </c>
    </row>
    <row r="12" spans="1:15">
      <c r="A12" s="16" t="s">
        <v>482</v>
      </c>
      <c r="B12" s="16" t="s">
        <v>489</v>
      </c>
      <c r="C12" s="16">
        <v>1100.7</v>
      </c>
      <c r="D12" s="16" t="s">
        <v>486</v>
      </c>
    </row>
    <row r="13" spans="1:15">
      <c r="A13" s="16" t="s">
        <v>482</v>
      </c>
      <c r="B13" s="16" t="s">
        <v>489</v>
      </c>
      <c r="C13" s="16">
        <v>2424.6</v>
      </c>
      <c r="D13" s="16" t="s">
        <v>487</v>
      </c>
    </row>
    <row r="14" spans="1:15">
      <c r="A14" s="16" t="s">
        <v>482</v>
      </c>
      <c r="B14" s="16" t="s">
        <v>490</v>
      </c>
      <c r="C14" s="16">
        <v>25127.360000000001</v>
      </c>
      <c r="D14" s="16" t="s">
        <v>484</v>
      </c>
    </row>
    <row r="15" spans="1:15">
      <c r="A15" s="16" t="s">
        <v>482</v>
      </c>
      <c r="B15" s="16" t="s">
        <v>490</v>
      </c>
      <c r="C15" s="16">
        <v>12806.1</v>
      </c>
      <c r="D15" s="16" t="s">
        <v>485</v>
      </c>
    </row>
    <row r="16" spans="1:15">
      <c r="A16" s="16" t="s">
        <v>482</v>
      </c>
      <c r="B16" s="16" t="s">
        <v>490</v>
      </c>
      <c r="C16" s="16">
        <v>7312.12</v>
      </c>
      <c r="D16" s="16" t="s">
        <v>486</v>
      </c>
    </row>
    <row r="17" spans="1:4">
      <c r="A17" s="16" t="s">
        <v>482</v>
      </c>
      <c r="B17" s="16" t="s">
        <v>490</v>
      </c>
      <c r="C17" s="16">
        <v>1317.5</v>
      </c>
      <c r="D17" s="16" t="s">
        <v>487</v>
      </c>
    </row>
    <row r="18" spans="1:4">
      <c r="A18" s="16" t="s">
        <v>482</v>
      </c>
      <c r="B18" s="16" t="s">
        <v>491</v>
      </c>
      <c r="C18" s="16">
        <v>529.20000000000005</v>
      </c>
      <c r="D18" s="16" t="s">
        <v>484</v>
      </c>
    </row>
    <row r="19" spans="1:4">
      <c r="A19" s="16" t="s">
        <v>482</v>
      </c>
      <c r="B19" s="16" t="s">
        <v>491</v>
      </c>
      <c r="C19" s="16">
        <v>467.55</v>
      </c>
      <c r="D19" s="16" t="s">
        <v>485</v>
      </c>
    </row>
    <row r="20" spans="1:4">
      <c r="A20" s="16" t="s">
        <v>482</v>
      </c>
      <c r="B20" s="16" t="s">
        <v>491</v>
      </c>
      <c r="C20" s="16">
        <v>219.37</v>
      </c>
      <c r="D20" s="16" t="s">
        <v>486</v>
      </c>
    </row>
    <row r="21" spans="1:4">
      <c r="A21" s="16" t="s">
        <v>482</v>
      </c>
      <c r="B21" s="16" t="s">
        <v>491</v>
      </c>
      <c r="C21" s="16">
        <v>337.5</v>
      </c>
      <c r="D21" s="16" t="s">
        <v>487</v>
      </c>
    </row>
    <row r="22" spans="1:4">
      <c r="A22" s="16" t="s">
        <v>482</v>
      </c>
      <c r="B22" s="16" t="s">
        <v>492</v>
      </c>
      <c r="C22" s="16">
        <v>1398.4</v>
      </c>
      <c r="D22" s="16" t="s">
        <v>484</v>
      </c>
    </row>
    <row r="23" spans="1:4">
      <c r="A23" s="16" t="s">
        <v>482</v>
      </c>
      <c r="B23" s="16" t="s">
        <v>492</v>
      </c>
      <c r="C23" s="16">
        <v>4496.5</v>
      </c>
      <c r="D23" s="16" t="s">
        <v>485</v>
      </c>
    </row>
    <row r="24" spans="1:4">
      <c r="A24" s="16" t="s">
        <v>482</v>
      </c>
      <c r="B24" s="16" t="s">
        <v>492</v>
      </c>
      <c r="C24" s="16">
        <v>1196</v>
      </c>
      <c r="D24" s="16" t="s">
        <v>486</v>
      </c>
    </row>
    <row r="25" spans="1:4">
      <c r="A25" s="16" t="s">
        <v>482</v>
      </c>
      <c r="B25" s="16" t="s">
        <v>492</v>
      </c>
      <c r="C25" s="16">
        <v>3979</v>
      </c>
      <c r="D25" s="16" t="s">
        <v>487</v>
      </c>
    </row>
    <row r="26" spans="1:4">
      <c r="A26" s="16" t="s">
        <v>482</v>
      </c>
      <c r="B26" s="16" t="s">
        <v>493</v>
      </c>
      <c r="C26" s="16">
        <v>1141.92</v>
      </c>
      <c r="D26" s="16" t="s">
        <v>484</v>
      </c>
    </row>
    <row r="27" spans="1:4">
      <c r="A27" s="16" t="s">
        <v>482</v>
      </c>
      <c r="B27" s="16" t="s">
        <v>493</v>
      </c>
      <c r="C27" s="16">
        <v>1774.08</v>
      </c>
      <c r="D27" s="16" t="s">
        <v>485</v>
      </c>
    </row>
    <row r="28" spans="1:4">
      <c r="A28" s="16" t="s">
        <v>482</v>
      </c>
      <c r="B28" s="16" t="s">
        <v>493</v>
      </c>
      <c r="C28" s="16">
        <v>3261.6</v>
      </c>
      <c r="D28" s="16" t="s">
        <v>486</v>
      </c>
    </row>
    <row r="29" spans="1:4">
      <c r="A29" s="16" t="s">
        <v>482</v>
      </c>
      <c r="B29" s="16" t="s">
        <v>493</v>
      </c>
      <c r="C29" s="16">
        <v>1705.5</v>
      </c>
      <c r="D29" s="16" t="s">
        <v>487</v>
      </c>
    </row>
    <row r="30" spans="1:4">
      <c r="A30" s="16" t="s">
        <v>482</v>
      </c>
      <c r="B30" s="16" t="s">
        <v>494</v>
      </c>
      <c r="C30" s="16">
        <v>518</v>
      </c>
      <c r="D30" s="16" t="s">
        <v>485</v>
      </c>
    </row>
    <row r="31" spans="1:4">
      <c r="A31" s="16" t="s">
        <v>482</v>
      </c>
      <c r="B31" s="16" t="s">
        <v>494</v>
      </c>
      <c r="C31" s="16">
        <v>350</v>
      </c>
      <c r="D31" s="16" t="s">
        <v>486</v>
      </c>
    </row>
    <row r="32" spans="1:4">
      <c r="A32" s="16" t="s">
        <v>482</v>
      </c>
      <c r="B32" s="16" t="s">
        <v>494</v>
      </c>
      <c r="C32" s="16">
        <v>42</v>
      </c>
      <c r="D32" s="16" t="s">
        <v>487</v>
      </c>
    </row>
    <row r="33" spans="1:4">
      <c r="A33" s="16" t="s">
        <v>482</v>
      </c>
      <c r="B33" s="16" t="s">
        <v>495</v>
      </c>
      <c r="C33" s="16">
        <v>1508.4</v>
      </c>
      <c r="D33" s="16" t="s">
        <v>484</v>
      </c>
    </row>
    <row r="34" spans="1:4">
      <c r="A34" s="16" t="s">
        <v>482</v>
      </c>
      <c r="B34" s="16" t="s">
        <v>495</v>
      </c>
      <c r="C34" s="16">
        <v>384</v>
      </c>
      <c r="D34" s="16" t="s">
        <v>485</v>
      </c>
    </row>
    <row r="35" spans="1:4">
      <c r="A35" s="16" t="s">
        <v>482</v>
      </c>
      <c r="B35" s="16" t="s">
        <v>495</v>
      </c>
      <c r="C35" s="16">
        <v>1252.5</v>
      </c>
      <c r="D35" s="16" t="s">
        <v>486</v>
      </c>
    </row>
    <row r="36" spans="1:4">
      <c r="A36" s="16" t="s">
        <v>482</v>
      </c>
      <c r="B36" s="16" t="s">
        <v>495</v>
      </c>
      <c r="C36" s="16">
        <v>2683.5</v>
      </c>
      <c r="D36" s="16" t="s">
        <v>487</v>
      </c>
    </row>
    <row r="37" spans="1:4">
      <c r="A37" s="16" t="s">
        <v>482</v>
      </c>
      <c r="B37" s="16" t="s">
        <v>496</v>
      </c>
      <c r="C37" s="16">
        <v>214.52</v>
      </c>
      <c r="D37" s="16" t="s">
        <v>484</v>
      </c>
    </row>
    <row r="38" spans="1:4">
      <c r="A38" s="16" t="s">
        <v>482</v>
      </c>
      <c r="B38" s="16" t="s">
        <v>496</v>
      </c>
      <c r="C38" s="16">
        <v>1508.92</v>
      </c>
      <c r="D38" s="16" t="s">
        <v>485</v>
      </c>
    </row>
    <row r="39" spans="1:4">
      <c r="A39" s="16" t="s">
        <v>482</v>
      </c>
      <c r="B39" s="16" t="s">
        <v>496</v>
      </c>
      <c r="C39" s="16">
        <v>1233.8</v>
      </c>
      <c r="D39" s="16" t="s">
        <v>486</v>
      </c>
    </row>
    <row r="40" spans="1:4">
      <c r="A40" s="16" t="s">
        <v>482</v>
      </c>
      <c r="B40" s="16" t="s">
        <v>496</v>
      </c>
      <c r="C40" s="16">
        <v>1233.8</v>
      </c>
      <c r="D40" s="16" t="s">
        <v>487</v>
      </c>
    </row>
    <row r="41" spans="1:4">
      <c r="A41" s="16" t="s">
        <v>482</v>
      </c>
      <c r="B41" s="16" t="s">
        <v>497</v>
      </c>
      <c r="C41" s="16">
        <v>179.2</v>
      </c>
      <c r="D41" s="16" t="s">
        <v>484</v>
      </c>
    </row>
    <row r="42" spans="1:4">
      <c r="A42" s="16" t="s">
        <v>482</v>
      </c>
      <c r="B42" s="16" t="s">
        <v>497</v>
      </c>
      <c r="C42" s="16">
        <v>1037.4000000000001</v>
      </c>
      <c r="D42" s="16" t="s">
        <v>485</v>
      </c>
    </row>
    <row r="43" spans="1:4">
      <c r="A43" s="16" t="s">
        <v>482</v>
      </c>
      <c r="B43" s="16" t="s">
        <v>497</v>
      </c>
      <c r="C43" s="16">
        <v>750.4</v>
      </c>
      <c r="D43" s="16" t="s">
        <v>487</v>
      </c>
    </row>
    <row r="44" spans="1:4">
      <c r="A44" s="16" t="s">
        <v>482</v>
      </c>
      <c r="B44" s="16" t="s">
        <v>498</v>
      </c>
      <c r="C44" s="16">
        <v>1742.4</v>
      </c>
      <c r="D44" s="16" t="s">
        <v>484</v>
      </c>
    </row>
    <row r="45" spans="1:4">
      <c r="A45" s="16" t="s">
        <v>482</v>
      </c>
      <c r="B45" s="16" t="s">
        <v>498</v>
      </c>
      <c r="C45" s="16">
        <v>1008</v>
      </c>
      <c r="D45" s="16" t="s">
        <v>485</v>
      </c>
    </row>
    <row r="46" spans="1:4">
      <c r="A46" s="16" t="s">
        <v>482</v>
      </c>
      <c r="B46" s="16" t="s">
        <v>498</v>
      </c>
      <c r="C46" s="16">
        <v>1683</v>
      </c>
      <c r="D46" s="16" t="s">
        <v>486</v>
      </c>
    </row>
    <row r="47" spans="1:4">
      <c r="A47" s="16" t="s">
        <v>482</v>
      </c>
      <c r="B47" s="16" t="s">
        <v>498</v>
      </c>
      <c r="C47" s="16">
        <v>1273.5</v>
      </c>
      <c r="D47" s="16" t="s">
        <v>487</v>
      </c>
    </row>
    <row r="48" spans="1:4">
      <c r="A48" s="16" t="s">
        <v>499</v>
      </c>
      <c r="B48" s="16" t="s">
        <v>500</v>
      </c>
      <c r="C48" s="16">
        <v>544</v>
      </c>
      <c r="D48" s="16" t="s">
        <v>484</v>
      </c>
    </row>
    <row r="49" spans="1:4">
      <c r="A49" s="16" t="s">
        <v>499</v>
      </c>
      <c r="B49" s="16" t="s">
        <v>500</v>
      </c>
      <c r="C49" s="16">
        <v>600</v>
      </c>
      <c r="D49" s="16" t="s">
        <v>485</v>
      </c>
    </row>
    <row r="50" spans="1:4">
      <c r="A50" s="16" t="s">
        <v>499</v>
      </c>
      <c r="B50" s="16" t="s">
        <v>500</v>
      </c>
      <c r="C50" s="16">
        <v>140</v>
      </c>
      <c r="D50" s="16" t="s">
        <v>486</v>
      </c>
    </row>
    <row r="51" spans="1:4">
      <c r="A51" s="16" t="s">
        <v>499</v>
      </c>
      <c r="B51" s="16" t="s">
        <v>500</v>
      </c>
      <c r="C51" s="16">
        <v>440</v>
      </c>
      <c r="D51" s="16" t="s">
        <v>487</v>
      </c>
    </row>
    <row r="52" spans="1:4">
      <c r="A52" s="16" t="s">
        <v>499</v>
      </c>
      <c r="B52" s="16" t="s">
        <v>501</v>
      </c>
      <c r="C52" s="16">
        <v>225.28</v>
      </c>
      <c r="D52" s="16" t="s">
        <v>484</v>
      </c>
    </row>
    <row r="53" spans="1:4">
      <c r="A53" s="16" t="s">
        <v>499</v>
      </c>
      <c r="B53" s="16" t="s">
        <v>501</v>
      </c>
      <c r="C53" s="16">
        <v>2970</v>
      </c>
      <c r="D53" s="16" t="s">
        <v>485</v>
      </c>
    </row>
    <row r="54" spans="1:4">
      <c r="A54" s="16" t="s">
        <v>499</v>
      </c>
      <c r="B54" s="16" t="s">
        <v>501</v>
      </c>
      <c r="C54" s="16">
        <v>1337.6</v>
      </c>
      <c r="D54" s="16" t="s">
        <v>486</v>
      </c>
    </row>
    <row r="55" spans="1:4">
      <c r="A55" s="16" t="s">
        <v>499</v>
      </c>
      <c r="B55" s="16" t="s">
        <v>501</v>
      </c>
      <c r="C55" s="16">
        <v>682</v>
      </c>
      <c r="D55" s="16" t="s">
        <v>487</v>
      </c>
    </row>
    <row r="56" spans="1:4">
      <c r="A56" s="16" t="s">
        <v>499</v>
      </c>
      <c r="B56" s="16" t="s">
        <v>502</v>
      </c>
      <c r="C56" s="16">
        <v>288.22000000000003</v>
      </c>
      <c r="D56" s="16" t="s">
        <v>486</v>
      </c>
    </row>
    <row r="57" spans="1:4">
      <c r="A57" s="16" t="s">
        <v>499</v>
      </c>
      <c r="B57" s="16" t="s">
        <v>502</v>
      </c>
      <c r="C57" s="16">
        <v>85.4</v>
      </c>
      <c r="D57" s="16" t="s">
        <v>487</v>
      </c>
    </row>
    <row r="58" spans="1:4">
      <c r="A58" s="16" t="s">
        <v>499</v>
      </c>
      <c r="B58" s="16" t="s">
        <v>503</v>
      </c>
      <c r="C58" s="16">
        <v>176.7</v>
      </c>
      <c r="D58" s="16" t="s">
        <v>485</v>
      </c>
    </row>
    <row r="59" spans="1:4">
      <c r="A59" s="16" t="s">
        <v>499</v>
      </c>
      <c r="B59" s="16" t="s">
        <v>503</v>
      </c>
      <c r="C59" s="16">
        <v>1298.1199999999999</v>
      </c>
      <c r="D59" s="16" t="s">
        <v>486</v>
      </c>
    </row>
    <row r="60" spans="1:4">
      <c r="A60" s="16" t="s">
        <v>499</v>
      </c>
      <c r="B60" s="16" t="s">
        <v>504</v>
      </c>
      <c r="C60" s="16">
        <v>1750</v>
      </c>
      <c r="D60" s="16" t="s">
        <v>486</v>
      </c>
    </row>
    <row r="61" spans="1:4">
      <c r="A61" s="16" t="s">
        <v>499</v>
      </c>
      <c r="B61" s="16" t="s">
        <v>504</v>
      </c>
      <c r="C61" s="16">
        <v>750</v>
      </c>
      <c r="D61" s="16" t="s">
        <v>487</v>
      </c>
    </row>
    <row r="62" spans="1:4">
      <c r="A62" s="16" t="s">
        <v>499</v>
      </c>
      <c r="B62" s="16" t="s">
        <v>505</v>
      </c>
      <c r="C62" s="16">
        <v>1994.85</v>
      </c>
      <c r="D62" s="16" t="s">
        <v>484</v>
      </c>
    </row>
    <row r="63" spans="1:4">
      <c r="A63" s="16" t="s">
        <v>499</v>
      </c>
      <c r="B63" s="16" t="s">
        <v>505</v>
      </c>
      <c r="C63" s="16">
        <v>1753.62</v>
      </c>
      <c r="D63" s="16" t="s">
        <v>485</v>
      </c>
    </row>
    <row r="64" spans="1:4">
      <c r="A64" s="16" t="s">
        <v>499</v>
      </c>
      <c r="B64" s="16" t="s">
        <v>505</v>
      </c>
      <c r="C64" s="16">
        <v>1093.0899999999999</v>
      </c>
      <c r="D64" s="16" t="s">
        <v>486</v>
      </c>
    </row>
    <row r="65" spans="1:4">
      <c r="A65" s="16" t="s">
        <v>499</v>
      </c>
      <c r="B65" s="16" t="s">
        <v>505</v>
      </c>
      <c r="C65" s="16">
        <v>1701.87</v>
      </c>
      <c r="D65" s="16" t="s">
        <v>487</v>
      </c>
    </row>
    <row r="66" spans="1:4">
      <c r="A66" s="16" t="s">
        <v>499</v>
      </c>
      <c r="B66" s="16" t="s">
        <v>506</v>
      </c>
      <c r="C66" s="16">
        <v>1347.36</v>
      </c>
      <c r="D66" s="16" t="s">
        <v>484</v>
      </c>
    </row>
    <row r="67" spans="1:4">
      <c r="A67" s="16" t="s">
        <v>499</v>
      </c>
      <c r="B67" s="16" t="s">
        <v>506</v>
      </c>
      <c r="C67" s="16">
        <v>2150.77</v>
      </c>
      <c r="D67" s="16" t="s">
        <v>485</v>
      </c>
    </row>
    <row r="68" spans="1:4">
      <c r="A68" s="16" t="s">
        <v>499</v>
      </c>
      <c r="B68" s="16" t="s">
        <v>506</v>
      </c>
      <c r="C68" s="16">
        <v>1975.54</v>
      </c>
      <c r="D68" s="16" t="s">
        <v>486</v>
      </c>
    </row>
    <row r="69" spans="1:4">
      <c r="A69" s="16" t="s">
        <v>499</v>
      </c>
      <c r="B69" s="16" t="s">
        <v>506</v>
      </c>
      <c r="C69" s="16">
        <v>3857.41</v>
      </c>
      <c r="D69" s="16" t="s">
        <v>487</v>
      </c>
    </row>
    <row r="70" spans="1:4">
      <c r="A70" s="16" t="s">
        <v>499</v>
      </c>
      <c r="B70" s="16" t="s">
        <v>507</v>
      </c>
      <c r="C70" s="16">
        <v>816</v>
      </c>
      <c r="D70" s="16" t="s">
        <v>484</v>
      </c>
    </row>
    <row r="71" spans="1:4">
      <c r="A71" s="16" t="s">
        <v>499</v>
      </c>
      <c r="B71" s="16" t="s">
        <v>507</v>
      </c>
      <c r="C71" s="16">
        <v>1224</v>
      </c>
      <c r="D71" s="16" t="s">
        <v>485</v>
      </c>
    </row>
    <row r="72" spans="1:4">
      <c r="A72" s="16" t="s">
        <v>499</v>
      </c>
      <c r="B72" s="16" t="s">
        <v>507</v>
      </c>
      <c r="C72" s="16">
        <v>918</v>
      </c>
      <c r="D72" s="16" t="s">
        <v>487</v>
      </c>
    </row>
    <row r="73" spans="1:4">
      <c r="A73" s="16" t="s">
        <v>499</v>
      </c>
      <c r="B73" s="16" t="s">
        <v>508</v>
      </c>
      <c r="C73" s="16">
        <v>1300</v>
      </c>
      <c r="D73" s="16" t="s">
        <v>485</v>
      </c>
    </row>
    <row r="74" spans="1:4">
      <c r="A74" s="16" t="s">
        <v>499</v>
      </c>
      <c r="B74" s="16" t="s">
        <v>508</v>
      </c>
      <c r="C74" s="16">
        <v>2960</v>
      </c>
      <c r="D74" s="16" t="s">
        <v>487</v>
      </c>
    </row>
    <row r="75" spans="1:4">
      <c r="A75" s="16" t="s">
        <v>499</v>
      </c>
      <c r="B75" s="16" t="s">
        <v>509</v>
      </c>
      <c r="C75" s="16">
        <v>1112.8</v>
      </c>
      <c r="D75" s="16" t="s">
        <v>484</v>
      </c>
    </row>
    <row r="76" spans="1:4">
      <c r="A76" s="16" t="s">
        <v>499</v>
      </c>
      <c r="B76" s="16" t="s">
        <v>509</v>
      </c>
      <c r="C76" s="16">
        <v>1027.78</v>
      </c>
      <c r="D76" s="16" t="s">
        <v>485</v>
      </c>
    </row>
    <row r="77" spans="1:4">
      <c r="A77" s="16" t="s">
        <v>499</v>
      </c>
      <c r="B77" s="16" t="s">
        <v>509</v>
      </c>
      <c r="C77" s="16">
        <v>2255.5</v>
      </c>
      <c r="D77" s="16" t="s">
        <v>486</v>
      </c>
    </row>
    <row r="78" spans="1:4">
      <c r="A78" s="16" t="s">
        <v>499</v>
      </c>
      <c r="B78" s="16" t="s">
        <v>509</v>
      </c>
      <c r="C78" s="16">
        <v>510.9</v>
      </c>
      <c r="D78" s="16" t="s">
        <v>487</v>
      </c>
    </row>
    <row r="79" spans="1:4">
      <c r="A79" s="16" t="s">
        <v>499</v>
      </c>
      <c r="B79" s="16" t="s">
        <v>510</v>
      </c>
      <c r="C79" s="16">
        <v>2679</v>
      </c>
      <c r="D79" s="16" t="s">
        <v>484</v>
      </c>
    </row>
    <row r="80" spans="1:4">
      <c r="A80" s="16" t="s">
        <v>499</v>
      </c>
      <c r="B80" s="16" t="s">
        <v>510</v>
      </c>
      <c r="C80" s="16">
        <v>1881</v>
      </c>
      <c r="D80" s="16" t="s">
        <v>485</v>
      </c>
    </row>
    <row r="81" spans="1:4">
      <c r="A81" s="16" t="s">
        <v>499</v>
      </c>
      <c r="B81" s="16" t="s">
        <v>510</v>
      </c>
      <c r="C81" s="16">
        <v>3021</v>
      </c>
      <c r="D81" s="16" t="s">
        <v>486</v>
      </c>
    </row>
    <row r="82" spans="1:4">
      <c r="A82" s="16" t="s">
        <v>499</v>
      </c>
      <c r="B82" s="16" t="s">
        <v>510</v>
      </c>
      <c r="C82" s="16">
        <v>1510.5</v>
      </c>
      <c r="D82" s="16" t="s">
        <v>487</v>
      </c>
    </row>
    <row r="83" spans="1:4">
      <c r="A83" s="16" t="s">
        <v>499</v>
      </c>
      <c r="B83" s="16" t="s">
        <v>511</v>
      </c>
      <c r="C83" s="16">
        <v>3202.87</v>
      </c>
      <c r="D83" s="16" t="s">
        <v>484</v>
      </c>
    </row>
    <row r="84" spans="1:4">
      <c r="A84" s="16" t="s">
        <v>499</v>
      </c>
      <c r="B84" s="16" t="s">
        <v>511</v>
      </c>
      <c r="C84" s="16">
        <v>263.39999999999998</v>
      </c>
      <c r="D84" s="16" t="s">
        <v>485</v>
      </c>
    </row>
    <row r="85" spans="1:4">
      <c r="A85" s="16" t="s">
        <v>499</v>
      </c>
      <c r="B85" s="16" t="s">
        <v>511</v>
      </c>
      <c r="C85" s="16">
        <v>842.88</v>
      </c>
      <c r="D85" s="16" t="s">
        <v>486</v>
      </c>
    </row>
    <row r="86" spans="1:4">
      <c r="A86" s="16" t="s">
        <v>499</v>
      </c>
      <c r="B86" s="16" t="s">
        <v>511</v>
      </c>
      <c r="C86" s="16">
        <v>2590.1</v>
      </c>
      <c r="D86" s="16" t="s">
        <v>487</v>
      </c>
    </row>
    <row r="87" spans="1:4">
      <c r="A87" s="16" t="s">
        <v>512</v>
      </c>
      <c r="B87" s="16" t="s">
        <v>513</v>
      </c>
      <c r="C87" s="16">
        <v>744.6</v>
      </c>
      <c r="D87" s="16" t="s">
        <v>484</v>
      </c>
    </row>
    <row r="88" spans="1:4">
      <c r="A88" s="16" t="s">
        <v>512</v>
      </c>
      <c r="B88" s="16" t="s">
        <v>513</v>
      </c>
      <c r="C88" s="16">
        <v>162.56</v>
      </c>
      <c r="D88" s="16" t="s">
        <v>485</v>
      </c>
    </row>
    <row r="89" spans="1:4">
      <c r="A89" s="16" t="s">
        <v>512</v>
      </c>
      <c r="B89" s="16" t="s">
        <v>513</v>
      </c>
      <c r="C89" s="16">
        <v>68.849999999999994</v>
      </c>
      <c r="D89" s="16" t="s">
        <v>486</v>
      </c>
    </row>
    <row r="90" spans="1:4">
      <c r="A90" s="16" t="s">
        <v>512</v>
      </c>
      <c r="B90" s="16" t="s">
        <v>513</v>
      </c>
      <c r="C90" s="16">
        <v>306</v>
      </c>
      <c r="D90" s="16" t="s">
        <v>487</v>
      </c>
    </row>
    <row r="91" spans="1:4">
      <c r="A91" s="16" t="s">
        <v>512</v>
      </c>
      <c r="B91" s="16" t="s">
        <v>514</v>
      </c>
      <c r="C91" s="16">
        <v>5079.6000000000004</v>
      </c>
      <c r="D91" s="16" t="s">
        <v>484</v>
      </c>
    </row>
    <row r="92" spans="1:4">
      <c r="A92" s="16" t="s">
        <v>512</v>
      </c>
      <c r="B92" s="16" t="s">
        <v>514</v>
      </c>
      <c r="C92" s="16">
        <v>1249.2</v>
      </c>
      <c r="D92" s="16" t="s">
        <v>485</v>
      </c>
    </row>
    <row r="93" spans="1:4">
      <c r="A93" s="16" t="s">
        <v>512</v>
      </c>
      <c r="B93" s="16" t="s">
        <v>514</v>
      </c>
      <c r="C93" s="16">
        <v>2061.17</v>
      </c>
      <c r="D93" s="16" t="s">
        <v>486</v>
      </c>
    </row>
    <row r="94" spans="1:4">
      <c r="A94" s="16" t="s">
        <v>512</v>
      </c>
      <c r="B94" s="16" t="s">
        <v>514</v>
      </c>
      <c r="C94" s="16">
        <v>2835.68</v>
      </c>
      <c r="D94" s="16" t="s">
        <v>487</v>
      </c>
    </row>
    <row r="95" spans="1:4">
      <c r="A95" s="16" t="s">
        <v>512</v>
      </c>
      <c r="B95" s="16" t="s">
        <v>515</v>
      </c>
      <c r="C95" s="16">
        <v>1605.6</v>
      </c>
      <c r="D95" s="16" t="s">
        <v>484</v>
      </c>
    </row>
    <row r="96" spans="1:4">
      <c r="A96" s="16" t="s">
        <v>512</v>
      </c>
      <c r="B96" s="16" t="s">
        <v>515</v>
      </c>
      <c r="C96" s="16">
        <v>620</v>
      </c>
      <c r="D96" s="16" t="s">
        <v>485</v>
      </c>
    </row>
    <row r="97" spans="1:4">
      <c r="A97" s="16" t="s">
        <v>512</v>
      </c>
      <c r="B97" s="16" t="s">
        <v>515</v>
      </c>
      <c r="C97" s="16">
        <v>835</v>
      </c>
      <c r="D97" s="16" t="s">
        <v>486</v>
      </c>
    </row>
    <row r="98" spans="1:4">
      <c r="A98" s="16" t="s">
        <v>512</v>
      </c>
      <c r="B98" s="16" t="s">
        <v>516</v>
      </c>
      <c r="C98" s="16">
        <v>193.2</v>
      </c>
      <c r="D98" s="16" t="s">
        <v>484</v>
      </c>
    </row>
    <row r="99" spans="1:4">
      <c r="A99" s="16" t="s">
        <v>512</v>
      </c>
      <c r="B99" s="16" t="s">
        <v>516</v>
      </c>
      <c r="C99" s="16">
        <v>865.2</v>
      </c>
      <c r="D99" s="16" t="s">
        <v>485</v>
      </c>
    </row>
    <row r="100" spans="1:4">
      <c r="A100" s="16" t="s">
        <v>512</v>
      </c>
      <c r="B100" s="16" t="s">
        <v>516</v>
      </c>
      <c r="C100" s="16">
        <v>493.5</v>
      </c>
      <c r="D100" s="16" t="s">
        <v>487</v>
      </c>
    </row>
    <row r="101" spans="1:4">
      <c r="A101" s="16" t="s">
        <v>512</v>
      </c>
      <c r="B101" s="16" t="s">
        <v>517</v>
      </c>
      <c r="C101" s="16">
        <v>1685.36</v>
      </c>
      <c r="D101" s="16" t="s">
        <v>484</v>
      </c>
    </row>
    <row r="102" spans="1:4">
      <c r="A102" s="16" t="s">
        <v>512</v>
      </c>
      <c r="B102" s="16" t="s">
        <v>517</v>
      </c>
      <c r="C102" s="16">
        <v>2646.08</v>
      </c>
      <c r="D102" s="16" t="s">
        <v>485</v>
      </c>
    </row>
    <row r="103" spans="1:4">
      <c r="A103" s="16" t="s">
        <v>512</v>
      </c>
      <c r="B103" s="16" t="s">
        <v>517</v>
      </c>
      <c r="C103" s="16">
        <v>1849.7</v>
      </c>
      <c r="D103" s="16" t="s">
        <v>486</v>
      </c>
    </row>
    <row r="104" spans="1:4">
      <c r="A104" s="16" t="s">
        <v>512</v>
      </c>
      <c r="B104" s="16" t="s">
        <v>517</v>
      </c>
      <c r="C104" s="16">
        <v>999.01</v>
      </c>
      <c r="D104" s="16" t="s">
        <v>487</v>
      </c>
    </row>
    <row r="105" spans="1:4">
      <c r="A105" s="16" t="s">
        <v>512</v>
      </c>
      <c r="B105" s="16" t="s">
        <v>518</v>
      </c>
      <c r="C105" s="16">
        <v>1755</v>
      </c>
      <c r="D105" s="16" t="s">
        <v>484</v>
      </c>
    </row>
    <row r="106" spans="1:4">
      <c r="A106" s="16" t="s">
        <v>512</v>
      </c>
      <c r="B106" s="16" t="s">
        <v>518</v>
      </c>
      <c r="C106" s="16">
        <v>5268</v>
      </c>
      <c r="D106" s="16" t="s">
        <v>485</v>
      </c>
    </row>
    <row r="107" spans="1:4">
      <c r="A107" s="16" t="s">
        <v>512</v>
      </c>
      <c r="B107" s="16" t="s">
        <v>518</v>
      </c>
      <c r="C107" s="16">
        <v>2195</v>
      </c>
      <c r="D107" s="16" t="s">
        <v>486</v>
      </c>
    </row>
    <row r="108" spans="1:4">
      <c r="A108" s="16" t="s">
        <v>512</v>
      </c>
      <c r="B108" s="16" t="s">
        <v>518</v>
      </c>
      <c r="C108" s="16">
        <v>1756</v>
      </c>
      <c r="D108" s="16" t="s">
        <v>487</v>
      </c>
    </row>
    <row r="109" spans="1:4">
      <c r="A109" s="16" t="s">
        <v>512</v>
      </c>
      <c r="B109" s="16" t="s">
        <v>519</v>
      </c>
      <c r="C109" s="16">
        <v>1267.5</v>
      </c>
      <c r="D109" s="16" t="s">
        <v>484</v>
      </c>
    </row>
    <row r="110" spans="1:4">
      <c r="A110" s="16" t="s">
        <v>512</v>
      </c>
      <c r="B110" s="16" t="s">
        <v>519</v>
      </c>
      <c r="C110" s="16">
        <v>1062.5</v>
      </c>
      <c r="D110" s="16" t="s">
        <v>485</v>
      </c>
    </row>
    <row r="111" spans="1:4">
      <c r="A111" s="16" t="s">
        <v>512</v>
      </c>
      <c r="B111" s="16" t="s">
        <v>519</v>
      </c>
      <c r="C111" s="16">
        <v>492.5</v>
      </c>
      <c r="D111" s="16" t="s">
        <v>486</v>
      </c>
    </row>
    <row r="112" spans="1:4">
      <c r="A112" s="16" t="s">
        <v>512</v>
      </c>
      <c r="B112" s="16" t="s">
        <v>519</v>
      </c>
      <c r="C112" s="16">
        <v>1935</v>
      </c>
      <c r="D112" s="16" t="s">
        <v>487</v>
      </c>
    </row>
    <row r="113" spans="1:4">
      <c r="A113" s="16" t="s">
        <v>512</v>
      </c>
      <c r="B113" s="16" t="s">
        <v>520</v>
      </c>
      <c r="C113" s="16">
        <v>4252.5</v>
      </c>
      <c r="D113" s="16" t="s">
        <v>485</v>
      </c>
    </row>
    <row r="114" spans="1:4">
      <c r="A114" s="16" t="s">
        <v>512</v>
      </c>
      <c r="B114" s="16" t="s">
        <v>520</v>
      </c>
      <c r="C114" s="16">
        <v>1360.8</v>
      </c>
      <c r="D114" s="16" t="s">
        <v>486</v>
      </c>
    </row>
    <row r="115" spans="1:4">
      <c r="A115" s="16" t="s">
        <v>512</v>
      </c>
      <c r="B115" s="16" t="s">
        <v>520</v>
      </c>
      <c r="C115" s="16">
        <v>1701</v>
      </c>
      <c r="D115" s="16" t="s">
        <v>487</v>
      </c>
    </row>
    <row r="116" spans="1:4">
      <c r="A116" s="16" t="s">
        <v>512</v>
      </c>
      <c r="B116" s="16" t="s">
        <v>521</v>
      </c>
      <c r="C116" s="16">
        <v>1418</v>
      </c>
      <c r="D116" s="16" t="s">
        <v>484</v>
      </c>
    </row>
    <row r="117" spans="1:4">
      <c r="A117" s="16" t="s">
        <v>512</v>
      </c>
      <c r="B117" s="16" t="s">
        <v>521</v>
      </c>
      <c r="C117" s="16">
        <v>756</v>
      </c>
      <c r="D117" s="16" t="s">
        <v>485</v>
      </c>
    </row>
    <row r="118" spans="1:4">
      <c r="A118" s="16" t="s">
        <v>512</v>
      </c>
      <c r="B118" s="16" t="s">
        <v>521</v>
      </c>
      <c r="C118" s="16">
        <v>1733</v>
      </c>
      <c r="D118" s="16" t="s">
        <v>486</v>
      </c>
    </row>
    <row r="119" spans="1:4">
      <c r="A119" s="16" t="s">
        <v>512</v>
      </c>
      <c r="B119" s="16" t="s">
        <v>521</v>
      </c>
      <c r="C119" s="16">
        <v>1434</v>
      </c>
      <c r="D119" s="16" t="s">
        <v>487</v>
      </c>
    </row>
    <row r="120" spans="1:4">
      <c r="A120" s="16" t="s">
        <v>512</v>
      </c>
      <c r="B120" s="16" t="s">
        <v>522</v>
      </c>
      <c r="C120" s="16">
        <v>4728</v>
      </c>
      <c r="D120" s="16" t="s">
        <v>484</v>
      </c>
    </row>
    <row r="121" spans="1:4">
      <c r="A121" s="16" t="s">
        <v>512</v>
      </c>
      <c r="B121" s="16" t="s">
        <v>522</v>
      </c>
      <c r="C121" s="16">
        <v>4547.92</v>
      </c>
      <c r="D121" s="16" t="s">
        <v>485</v>
      </c>
    </row>
    <row r="122" spans="1:4">
      <c r="A122" s="16" t="s">
        <v>512</v>
      </c>
      <c r="B122" s="16" t="s">
        <v>522</v>
      </c>
      <c r="C122" s="16">
        <v>5472.3</v>
      </c>
      <c r="D122" s="16" t="s">
        <v>486</v>
      </c>
    </row>
    <row r="123" spans="1:4">
      <c r="A123" s="16" t="s">
        <v>512</v>
      </c>
      <c r="B123" s="16" t="s">
        <v>522</v>
      </c>
      <c r="C123" s="16">
        <v>6014.6</v>
      </c>
      <c r="D123" s="16" t="s">
        <v>487</v>
      </c>
    </row>
    <row r="124" spans="1:4">
      <c r="A124" s="16" t="s">
        <v>512</v>
      </c>
      <c r="B124" s="16" t="s">
        <v>523</v>
      </c>
      <c r="C124" s="16">
        <v>943.89</v>
      </c>
      <c r="D124" s="16" t="s">
        <v>484</v>
      </c>
    </row>
    <row r="125" spans="1:4">
      <c r="A125" s="16" t="s">
        <v>512</v>
      </c>
      <c r="B125" s="16" t="s">
        <v>523</v>
      </c>
      <c r="C125" s="16">
        <v>349.6</v>
      </c>
      <c r="D125" s="16" t="s">
        <v>485</v>
      </c>
    </row>
    <row r="126" spans="1:4">
      <c r="A126" s="16" t="s">
        <v>512</v>
      </c>
      <c r="B126" s="16" t="s">
        <v>523</v>
      </c>
      <c r="C126" s="16">
        <v>841.8</v>
      </c>
      <c r="D126" s="16" t="s">
        <v>486</v>
      </c>
    </row>
    <row r="127" spans="1:4">
      <c r="A127" s="16" t="s">
        <v>512</v>
      </c>
      <c r="B127" s="16" t="s">
        <v>523</v>
      </c>
      <c r="C127" s="16">
        <v>204.7</v>
      </c>
      <c r="D127" s="16" t="s">
        <v>487</v>
      </c>
    </row>
    <row r="128" spans="1:4">
      <c r="A128" s="16" t="s">
        <v>512</v>
      </c>
      <c r="B128" s="16" t="s">
        <v>524</v>
      </c>
      <c r="C128" s="16">
        <v>845</v>
      </c>
      <c r="D128" s="16" t="s">
        <v>484</v>
      </c>
    </row>
    <row r="129" spans="1:4">
      <c r="A129" s="16" t="s">
        <v>512</v>
      </c>
      <c r="B129" s="16" t="s">
        <v>524</v>
      </c>
      <c r="C129" s="16">
        <v>385.94</v>
      </c>
      <c r="D129" s="16" t="s">
        <v>486</v>
      </c>
    </row>
    <row r="130" spans="1:4">
      <c r="A130" s="16" t="s">
        <v>512</v>
      </c>
      <c r="B130" s="16" t="s">
        <v>524</v>
      </c>
      <c r="C130" s="16">
        <v>942.5</v>
      </c>
      <c r="D130" s="16" t="s">
        <v>487</v>
      </c>
    </row>
    <row r="131" spans="1:4">
      <c r="A131" s="16" t="s">
        <v>512</v>
      </c>
      <c r="B131" s="16" t="s">
        <v>525</v>
      </c>
      <c r="C131" s="16">
        <v>817</v>
      </c>
      <c r="D131" s="16" t="s">
        <v>484</v>
      </c>
    </row>
    <row r="132" spans="1:4">
      <c r="A132" s="16" t="s">
        <v>512</v>
      </c>
      <c r="B132" s="16" t="s">
        <v>525</v>
      </c>
      <c r="C132" s="16">
        <v>285.95</v>
      </c>
      <c r="D132" s="16" t="s">
        <v>485</v>
      </c>
    </row>
    <row r="133" spans="1:4">
      <c r="A133" s="16" t="s">
        <v>512</v>
      </c>
      <c r="B133" s="16" t="s">
        <v>525</v>
      </c>
      <c r="C133" s="16">
        <v>668.8</v>
      </c>
      <c r="D133" s="16" t="s">
        <v>486</v>
      </c>
    </row>
    <row r="134" spans="1:4">
      <c r="A134" s="16" t="s">
        <v>512</v>
      </c>
      <c r="B134" s="16" t="s">
        <v>525</v>
      </c>
      <c r="C134" s="16">
        <v>1159</v>
      </c>
      <c r="D134" s="16" t="s">
        <v>487</v>
      </c>
    </row>
    <row r="135" spans="1:4">
      <c r="A135" s="16" t="s">
        <v>526</v>
      </c>
      <c r="B135" s="16" t="s">
        <v>527</v>
      </c>
      <c r="C135" s="16">
        <v>3329.28</v>
      </c>
      <c r="D135" s="16" t="s">
        <v>484</v>
      </c>
    </row>
    <row r="136" spans="1:4">
      <c r="A136" s="16" t="s">
        <v>526</v>
      </c>
      <c r="B136" s="16" t="s">
        <v>527</v>
      </c>
      <c r="C136" s="16">
        <v>3989.9</v>
      </c>
      <c r="D136" s="16" t="s">
        <v>485</v>
      </c>
    </row>
    <row r="137" spans="1:4">
      <c r="A137" s="16" t="s">
        <v>526</v>
      </c>
      <c r="B137" s="16" t="s">
        <v>527</v>
      </c>
      <c r="C137" s="16">
        <v>10273.1</v>
      </c>
      <c r="D137" s="16" t="s">
        <v>486</v>
      </c>
    </row>
    <row r="138" spans="1:4">
      <c r="A138" s="16" t="s">
        <v>526</v>
      </c>
      <c r="B138" s="16" t="s">
        <v>527</v>
      </c>
      <c r="C138" s="16">
        <v>3060</v>
      </c>
      <c r="D138" s="16" t="s">
        <v>487</v>
      </c>
    </row>
    <row r="139" spans="1:4">
      <c r="A139" s="16" t="s">
        <v>526</v>
      </c>
      <c r="B139" s="16" t="s">
        <v>528</v>
      </c>
      <c r="C139" s="16">
        <v>4454.8</v>
      </c>
      <c r="D139" s="16" t="s">
        <v>484</v>
      </c>
    </row>
    <row r="140" spans="1:4">
      <c r="A140" s="16" t="s">
        <v>526</v>
      </c>
      <c r="B140" s="16" t="s">
        <v>528</v>
      </c>
      <c r="C140" s="16">
        <v>174.15</v>
      </c>
      <c r="D140" s="16" t="s">
        <v>485</v>
      </c>
    </row>
    <row r="141" spans="1:4">
      <c r="A141" s="16" t="s">
        <v>526</v>
      </c>
      <c r="B141" s="16" t="s">
        <v>528</v>
      </c>
      <c r="C141" s="16">
        <v>2541.29</v>
      </c>
      <c r="D141" s="16" t="s">
        <v>486</v>
      </c>
    </row>
    <row r="142" spans="1:4">
      <c r="A142" s="16" t="s">
        <v>526</v>
      </c>
      <c r="B142" s="16" t="s">
        <v>528</v>
      </c>
      <c r="C142" s="16">
        <v>2472.5</v>
      </c>
      <c r="D142" s="16" t="s">
        <v>487</v>
      </c>
    </row>
    <row r="143" spans="1:4">
      <c r="A143" s="16" t="s">
        <v>526</v>
      </c>
      <c r="B143" s="16" t="s">
        <v>529</v>
      </c>
      <c r="C143" s="16">
        <v>294</v>
      </c>
      <c r="D143" s="16" t="s">
        <v>484</v>
      </c>
    </row>
    <row r="144" spans="1:4">
      <c r="A144" s="16" t="s">
        <v>526</v>
      </c>
      <c r="B144" s="16" t="s">
        <v>529</v>
      </c>
      <c r="C144" s="16">
        <v>242.5</v>
      </c>
      <c r="D144" s="16" t="s">
        <v>485</v>
      </c>
    </row>
    <row r="145" spans="1:4">
      <c r="A145" s="16" t="s">
        <v>526</v>
      </c>
      <c r="B145" s="16" t="s">
        <v>529</v>
      </c>
      <c r="C145" s="16">
        <v>99.5</v>
      </c>
      <c r="D145" s="16" t="s">
        <v>486</v>
      </c>
    </row>
    <row r="146" spans="1:4">
      <c r="A146" s="16" t="s">
        <v>526</v>
      </c>
      <c r="B146" s="16" t="s">
        <v>529</v>
      </c>
      <c r="C146" s="16">
        <v>150</v>
      </c>
      <c r="D146" s="16" t="s">
        <v>487</v>
      </c>
    </row>
    <row r="147" spans="1:4">
      <c r="A147" s="16" t="s">
        <v>526</v>
      </c>
      <c r="B147" s="16" t="s">
        <v>530</v>
      </c>
      <c r="C147" s="16">
        <v>487</v>
      </c>
      <c r="D147" s="16" t="s">
        <v>484</v>
      </c>
    </row>
    <row r="148" spans="1:4">
      <c r="A148" s="16" t="s">
        <v>526</v>
      </c>
      <c r="B148" s="16" t="s">
        <v>530</v>
      </c>
      <c r="C148" s="16">
        <v>2993.12</v>
      </c>
      <c r="D148" s="16" t="s">
        <v>485</v>
      </c>
    </row>
    <row r="149" spans="1:4">
      <c r="A149" s="16" t="s">
        <v>526</v>
      </c>
      <c r="B149" s="16" t="s">
        <v>530</v>
      </c>
      <c r="C149" s="16">
        <v>1458.75</v>
      </c>
      <c r="D149" s="16" t="s">
        <v>486</v>
      </c>
    </row>
    <row r="150" spans="1:4">
      <c r="A150" s="16" t="s">
        <v>526</v>
      </c>
      <c r="B150" s="16" t="s">
        <v>530</v>
      </c>
      <c r="C150" s="16">
        <v>2681.87</v>
      </c>
      <c r="D150" s="16" t="s">
        <v>487</v>
      </c>
    </row>
    <row r="151" spans="1:4">
      <c r="A151" s="16" t="s">
        <v>526</v>
      </c>
      <c r="B151" s="16" t="s">
        <v>531</v>
      </c>
      <c r="C151" s="16">
        <v>2649.6</v>
      </c>
      <c r="D151" s="16" t="s">
        <v>484</v>
      </c>
    </row>
    <row r="152" spans="1:4">
      <c r="A152" s="16" t="s">
        <v>526</v>
      </c>
      <c r="B152" s="16" t="s">
        <v>531</v>
      </c>
      <c r="C152" s="16">
        <v>1267.2</v>
      </c>
      <c r="D152" s="16" t="s">
        <v>485</v>
      </c>
    </row>
    <row r="153" spans="1:4">
      <c r="A153" s="16" t="s">
        <v>526</v>
      </c>
      <c r="B153" s="16" t="s">
        <v>531</v>
      </c>
      <c r="C153" s="16">
        <v>4473</v>
      </c>
      <c r="D153" s="16" t="s">
        <v>486</v>
      </c>
    </row>
    <row r="154" spans="1:4">
      <c r="A154" s="16" t="s">
        <v>526</v>
      </c>
      <c r="B154" s="16" t="s">
        <v>531</v>
      </c>
      <c r="C154" s="16">
        <v>5652</v>
      </c>
      <c r="D154" s="16" t="s">
        <v>487</v>
      </c>
    </row>
    <row r="155" spans="1:4">
      <c r="A155" s="16" t="s">
        <v>526</v>
      </c>
      <c r="B155" s="16" t="s">
        <v>532</v>
      </c>
      <c r="C155" s="16">
        <v>2220.8000000000002</v>
      </c>
      <c r="D155" s="16" t="s">
        <v>485</v>
      </c>
    </row>
    <row r="156" spans="1:4">
      <c r="A156" s="16" t="s">
        <v>526</v>
      </c>
      <c r="B156" s="16" t="s">
        <v>532</v>
      </c>
      <c r="C156" s="16">
        <v>448</v>
      </c>
      <c r="D156" s="16" t="s">
        <v>487</v>
      </c>
    </row>
    <row r="157" spans="1:4">
      <c r="A157" s="16" t="s">
        <v>526</v>
      </c>
      <c r="B157" s="16" t="s">
        <v>533</v>
      </c>
      <c r="C157" s="16">
        <v>1973.8</v>
      </c>
      <c r="D157" s="16" t="s">
        <v>484</v>
      </c>
    </row>
    <row r="158" spans="1:4">
      <c r="A158" s="16" t="s">
        <v>526</v>
      </c>
      <c r="B158" s="16" t="s">
        <v>533</v>
      </c>
      <c r="C158" s="16">
        <v>4488.2</v>
      </c>
      <c r="D158" s="16" t="s">
        <v>485</v>
      </c>
    </row>
    <row r="159" spans="1:4">
      <c r="A159" s="16" t="s">
        <v>526</v>
      </c>
      <c r="B159" s="16" t="s">
        <v>533</v>
      </c>
      <c r="C159" s="16">
        <v>3027.6</v>
      </c>
      <c r="D159" s="16" t="s">
        <v>486</v>
      </c>
    </row>
    <row r="160" spans="1:4">
      <c r="A160" s="16" t="s">
        <v>526</v>
      </c>
      <c r="B160" s="16" t="s">
        <v>533</v>
      </c>
      <c r="C160" s="16">
        <v>2349</v>
      </c>
      <c r="D160" s="16" t="s">
        <v>487</v>
      </c>
    </row>
    <row r="161" spans="1:4">
      <c r="A161" s="16" t="s">
        <v>526</v>
      </c>
      <c r="B161" s="16" t="s">
        <v>534</v>
      </c>
      <c r="C161" s="16">
        <v>1357.44</v>
      </c>
      <c r="D161" s="16" t="s">
        <v>484</v>
      </c>
    </row>
    <row r="162" spans="1:4">
      <c r="A162" s="16" t="s">
        <v>526</v>
      </c>
      <c r="B162" s="16" t="s">
        <v>534</v>
      </c>
      <c r="C162" s="16">
        <v>3029.25</v>
      </c>
      <c r="D162" s="16" t="s">
        <v>485</v>
      </c>
    </row>
    <row r="163" spans="1:4">
      <c r="A163" s="16" t="s">
        <v>526</v>
      </c>
      <c r="B163" s="16" t="s">
        <v>534</v>
      </c>
      <c r="C163" s="16">
        <v>504</v>
      </c>
      <c r="D163" s="16" t="s">
        <v>486</v>
      </c>
    </row>
    <row r="164" spans="1:4">
      <c r="A164" s="16" t="s">
        <v>526</v>
      </c>
      <c r="B164" s="16" t="s">
        <v>534</v>
      </c>
      <c r="C164" s="16">
        <v>656.25</v>
      </c>
      <c r="D164" s="16" t="s">
        <v>487</v>
      </c>
    </row>
    <row r="165" spans="1:4">
      <c r="A165" s="16" t="s">
        <v>526</v>
      </c>
      <c r="B165" s="16" t="s">
        <v>535</v>
      </c>
      <c r="C165" s="16">
        <v>456</v>
      </c>
      <c r="D165" s="16" t="s">
        <v>484</v>
      </c>
    </row>
    <row r="166" spans="1:4">
      <c r="A166" s="16" t="s">
        <v>526</v>
      </c>
      <c r="B166" s="16" t="s">
        <v>535</v>
      </c>
      <c r="C166" s="16">
        <v>1396.5</v>
      </c>
      <c r="D166" s="16" t="s">
        <v>485</v>
      </c>
    </row>
    <row r="167" spans="1:4">
      <c r="A167" s="16" t="s">
        <v>526</v>
      </c>
      <c r="B167" s="16" t="s">
        <v>535</v>
      </c>
      <c r="C167" s="16">
        <v>1162.8</v>
      </c>
      <c r="D167" s="16" t="s">
        <v>486</v>
      </c>
    </row>
    <row r="168" spans="1:4">
      <c r="A168" s="16" t="s">
        <v>526</v>
      </c>
      <c r="B168" s="16" t="s">
        <v>535</v>
      </c>
      <c r="C168" s="16">
        <v>5320</v>
      </c>
      <c r="D168" s="16" t="s">
        <v>487</v>
      </c>
    </row>
    <row r="169" spans="1:4">
      <c r="A169" s="16" t="s">
        <v>526</v>
      </c>
      <c r="B169" s="16" t="s">
        <v>536</v>
      </c>
      <c r="C169" s="16">
        <v>9116.7999999999993</v>
      </c>
      <c r="D169" s="16" t="s">
        <v>484</v>
      </c>
    </row>
    <row r="170" spans="1:4">
      <c r="A170" s="16" t="s">
        <v>526</v>
      </c>
      <c r="B170" s="16" t="s">
        <v>536</v>
      </c>
      <c r="C170" s="16">
        <v>7452.5</v>
      </c>
      <c r="D170" s="16" t="s">
        <v>485</v>
      </c>
    </row>
    <row r="171" spans="1:4">
      <c r="A171" s="16" t="s">
        <v>526</v>
      </c>
      <c r="B171" s="16" t="s">
        <v>536</v>
      </c>
      <c r="C171" s="16">
        <v>5087.5</v>
      </c>
      <c r="D171" s="16" t="s">
        <v>486</v>
      </c>
    </row>
    <row r="172" spans="1:4">
      <c r="A172" s="16" t="s">
        <v>526</v>
      </c>
      <c r="B172" s="16" t="s">
        <v>536</v>
      </c>
      <c r="C172" s="16">
        <v>11959.75</v>
      </c>
      <c r="D172" s="16" t="s">
        <v>487</v>
      </c>
    </row>
    <row r="173" spans="1:4">
      <c r="A173" s="16" t="s">
        <v>537</v>
      </c>
      <c r="B173" s="16" t="s">
        <v>538</v>
      </c>
      <c r="C173" s="16">
        <v>187.6</v>
      </c>
      <c r="D173" s="16" t="s">
        <v>484</v>
      </c>
    </row>
    <row r="174" spans="1:4">
      <c r="A174" s="16" t="s">
        <v>537</v>
      </c>
      <c r="B174" s="16" t="s">
        <v>538</v>
      </c>
      <c r="C174" s="16">
        <v>742</v>
      </c>
      <c r="D174" s="16" t="s">
        <v>485</v>
      </c>
    </row>
    <row r="175" spans="1:4">
      <c r="A175" s="16" t="s">
        <v>537</v>
      </c>
      <c r="B175" s="16" t="s">
        <v>538</v>
      </c>
      <c r="C175" s="16">
        <v>226.8</v>
      </c>
      <c r="D175" s="16" t="s">
        <v>486</v>
      </c>
    </row>
    <row r="176" spans="1:4">
      <c r="A176" s="16" t="s">
        <v>537</v>
      </c>
      <c r="B176" s="16" t="s">
        <v>538</v>
      </c>
      <c r="C176" s="16">
        <v>911.75</v>
      </c>
      <c r="D176" s="16" t="s">
        <v>487</v>
      </c>
    </row>
    <row r="177" spans="1:4">
      <c r="A177" s="16" t="s">
        <v>537</v>
      </c>
      <c r="B177" s="16" t="s">
        <v>539</v>
      </c>
      <c r="C177" s="16">
        <v>6931.2</v>
      </c>
      <c r="D177" s="16" t="s">
        <v>484</v>
      </c>
    </row>
    <row r="178" spans="1:4">
      <c r="A178" s="16" t="s">
        <v>537</v>
      </c>
      <c r="B178" s="16" t="s">
        <v>539</v>
      </c>
      <c r="C178" s="16">
        <v>9868.6</v>
      </c>
      <c r="D178" s="16" t="s">
        <v>485</v>
      </c>
    </row>
    <row r="179" spans="1:4">
      <c r="A179" s="16" t="s">
        <v>537</v>
      </c>
      <c r="B179" s="16" t="s">
        <v>539</v>
      </c>
      <c r="C179" s="16">
        <v>6771.6</v>
      </c>
      <c r="D179" s="16" t="s">
        <v>486</v>
      </c>
    </row>
    <row r="180" spans="1:4">
      <c r="A180" s="16" t="s">
        <v>537</v>
      </c>
      <c r="B180" s="16" t="s">
        <v>539</v>
      </c>
      <c r="C180" s="16">
        <v>9032.6</v>
      </c>
      <c r="D180" s="16" t="s">
        <v>487</v>
      </c>
    </row>
    <row r="181" spans="1:4">
      <c r="A181" s="16" t="s">
        <v>537</v>
      </c>
      <c r="B181" s="16" t="s">
        <v>540</v>
      </c>
      <c r="C181" s="16">
        <v>201.6</v>
      </c>
      <c r="D181" s="16" t="s">
        <v>484</v>
      </c>
    </row>
    <row r="182" spans="1:4">
      <c r="A182" s="16" t="s">
        <v>537</v>
      </c>
      <c r="B182" s="16" t="s">
        <v>540</v>
      </c>
      <c r="C182" s="16">
        <v>504</v>
      </c>
      <c r="D182" s="16" t="s">
        <v>485</v>
      </c>
    </row>
    <row r="183" spans="1:4">
      <c r="A183" s="16" t="s">
        <v>537</v>
      </c>
      <c r="B183" s="16" t="s">
        <v>540</v>
      </c>
      <c r="C183" s="16">
        <v>3318</v>
      </c>
      <c r="D183" s="16" t="s">
        <v>486</v>
      </c>
    </row>
    <row r="184" spans="1:4">
      <c r="A184" s="16" t="s">
        <v>537</v>
      </c>
      <c r="B184" s="16" t="s">
        <v>540</v>
      </c>
      <c r="C184" s="16">
        <v>210</v>
      </c>
      <c r="D184" s="16" t="s">
        <v>487</v>
      </c>
    </row>
    <row r="185" spans="1:4">
      <c r="A185" s="16" t="s">
        <v>537</v>
      </c>
      <c r="B185" s="16" t="s">
        <v>541</v>
      </c>
      <c r="C185" s="16">
        <v>499.2</v>
      </c>
      <c r="D185" s="16" t="s">
        <v>484</v>
      </c>
    </row>
    <row r="186" spans="1:4">
      <c r="A186" s="16" t="s">
        <v>537</v>
      </c>
      <c r="B186" s="16" t="s">
        <v>541</v>
      </c>
      <c r="C186" s="16">
        <v>87.75</v>
      </c>
      <c r="D186" s="16" t="s">
        <v>485</v>
      </c>
    </row>
    <row r="187" spans="1:4">
      <c r="A187" s="16" t="s">
        <v>537</v>
      </c>
      <c r="B187" s="16" t="s">
        <v>541</v>
      </c>
      <c r="C187" s="16">
        <v>585</v>
      </c>
      <c r="D187" s="16" t="s">
        <v>486</v>
      </c>
    </row>
    <row r="188" spans="1:4">
      <c r="A188" s="16" t="s">
        <v>537</v>
      </c>
      <c r="B188" s="16" t="s">
        <v>541</v>
      </c>
      <c r="C188" s="16">
        <v>984.75</v>
      </c>
      <c r="D188" s="16" t="s">
        <v>487</v>
      </c>
    </row>
    <row r="189" spans="1:4">
      <c r="A189" s="16" t="s">
        <v>537</v>
      </c>
      <c r="B189" s="16" t="s">
        <v>542</v>
      </c>
      <c r="C189" s="16">
        <v>985.6</v>
      </c>
      <c r="D189" s="16" t="s">
        <v>484</v>
      </c>
    </row>
    <row r="190" spans="1:4">
      <c r="A190" s="16" t="s">
        <v>537</v>
      </c>
      <c r="B190" s="16" t="s">
        <v>542</v>
      </c>
      <c r="C190" s="16">
        <v>912.8</v>
      </c>
      <c r="D190" s="16" t="s">
        <v>485</v>
      </c>
    </row>
    <row r="191" spans="1:4">
      <c r="A191" s="16" t="s">
        <v>537</v>
      </c>
      <c r="B191" s="16" t="s">
        <v>542</v>
      </c>
      <c r="C191" s="16">
        <v>2307.1999999999998</v>
      </c>
      <c r="D191" s="16" t="s">
        <v>486</v>
      </c>
    </row>
    <row r="192" spans="1:4">
      <c r="A192" s="16" t="s">
        <v>537</v>
      </c>
      <c r="B192" s="16" t="s">
        <v>542</v>
      </c>
      <c r="C192" s="16">
        <v>978.6</v>
      </c>
      <c r="D192" s="16" t="s">
        <v>487</v>
      </c>
    </row>
    <row r="193" spans="1:4">
      <c r="A193" s="16" t="s">
        <v>537</v>
      </c>
      <c r="B193" s="16" t="s">
        <v>543</v>
      </c>
      <c r="C193" s="16">
        <v>979.2</v>
      </c>
      <c r="D193" s="16" t="s">
        <v>484</v>
      </c>
    </row>
    <row r="194" spans="1:4">
      <c r="A194" s="16" t="s">
        <v>537</v>
      </c>
      <c r="B194" s="16" t="s">
        <v>543</v>
      </c>
      <c r="C194" s="16">
        <v>778.5</v>
      </c>
      <c r="D194" s="16" t="s">
        <v>485</v>
      </c>
    </row>
    <row r="195" spans="1:4">
      <c r="A195" s="16" t="s">
        <v>537</v>
      </c>
      <c r="B195" s="16" t="s">
        <v>543</v>
      </c>
      <c r="C195" s="16">
        <v>423</v>
      </c>
      <c r="D195" s="16" t="s">
        <v>486</v>
      </c>
    </row>
    <row r="196" spans="1:4">
      <c r="A196" s="16" t="s">
        <v>537</v>
      </c>
      <c r="B196" s="16" t="s">
        <v>543</v>
      </c>
      <c r="C196" s="16">
        <v>396</v>
      </c>
      <c r="D196" s="16" t="s">
        <v>487</v>
      </c>
    </row>
    <row r="197" spans="1:4">
      <c r="A197" s="16" t="s">
        <v>537</v>
      </c>
      <c r="B197" s="16" t="s">
        <v>544</v>
      </c>
      <c r="C197" s="16">
        <v>2912.7</v>
      </c>
      <c r="D197" s="16" t="s">
        <v>484</v>
      </c>
    </row>
    <row r="198" spans="1:4">
      <c r="A198" s="16" t="s">
        <v>537</v>
      </c>
      <c r="B198" s="16" t="s">
        <v>544</v>
      </c>
      <c r="C198" s="16">
        <v>1735.65</v>
      </c>
      <c r="D198" s="16" t="s">
        <v>485</v>
      </c>
    </row>
    <row r="199" spans="1:4">
      <c r="A199" s="16" t="s">
        <v>537</v>
      </c>
      <c r="B199" s="16" t="s">
        <v>544</v>
      </c>
      <c r="C199" s="16">
        <v>1679.12</v>
      </c>
      <c r="D199" s="16" t="s">
        <v>486</v>
      </c>
    </row>
    <row r="200" spans="1:4">
      <c r="A200" s="16" t="s">
        <v>537</v>
      </c>
      <c r="B200" s="16" t="s">
        <v>544</v>
      </c>
      <c r="C200" s="16">
        <v>798</v>
      </c>
      <c r="D200" s="16" t="s">
        <v>487</v>
      </c>
    </row>
    <row r="201" spans="1:4">
      <c r="A201" s="16" t="s">
        <v>545</v>
      </c>
      <c r="B201" s="16" t="s">
        <v>546</v>
      </c>
      <c r="C201" s="16">
        <v>2667.6</v>
      </c>
      <c r="D201" s="16" t="s">
        <v>484</v>
      </c>
    </row>
    <row r="202" spans="1:4">
      <c r="A202" s="16" t="s">
        <v>545</v>
      </c>
      <c r="B202" s="16" t="s">
        <v>546</v>
      </c>
      <c r="C202" s="16">
        <v>4013.1</v>
      </c>
      <c r="D202" s="16" t="s">
        <v>485</v>
      </c>
    </row>
    <row r="203" spans="1:4">
      <c r="A203" s="16" t="s">
        <v>545</v>
      </c>
      <c r="B203" s="16" t="s">
        <v>546</v>
      </c>
      <c r="C203" s="16">
        <v>3900</v>
      </c>
      <c r="D203" s="16" t="s">
        <v>486</v>
      </c>
    </row>
    <row r="204" spans="1:4">
      <c r="A204" s="16" t="s">
        <v>545</v>
      </c>
      <c r="B204" s="16" t="s">
        <v>546</v>
      </c>
      <c r="C204" s="16">
        <v>6000.15</v>
      </c>
      <c r="D204" s="16" t="s">
        <v>487</v>
      </c>
    </row>
    <row r="205" spans="1:4">
      <c r="A205" s="16" t="s">
        <v>545</v>
      </c>
      <c r="B205" s="16" t="s">
        <v>547</v>
      </c>
      <c r="C205" s="16">
        <v>1396.8</v>
      </c>
      <c r="D205" s="16" t="s">
        <v>484</v>
      </c>
    </row>
    <row r="206" spans="1:4">
      <c r="A206" s="16" t="s">
        <v>545</v>
      </c>
      <c r="B206" s="16" t="s">
        <v>547</v>
      </c>
      <c r="C206" s="16">
        <v>1319.2</v>
      </c>
      <c r="D206" s="16" t="s">
        <v>485</v>
      </c>
    </row>
    <row r="207" spans="1:4">
      <c r="A207" s="16" t="s">
        <v>545</v>
      </c>
      <c r="B207" s="16" t="s">
        <v>547</v>
      </c>
      <c r="C207" s="16">
        <v>4219.5</v>
      </c>
      <c r="D207" s="16" t="s">
        <v>487</v>
      </c>
    </row>
    <row r="208" spans="1:4">
      <c r="A208" s="16" t="s">
        <v>545</v>
      </c>
      <c r="B208" s="16" t="s">
        <v>548</v>
      </c>
      <c r="C208" s="16">
        <v>5710.08</v>
      </c>
      <c r="D208" s="16" t="s">
        <v>484</v>
      </c>
    </row>
    <row r="209" spans="1:4">
      <c r="A209" s="16" t="s">
        <v>545</v>
      </c>
      <c r="B209" s="16" t="s">
        <v>548</v>
      </c>
      <c r="C209" s="16">
        <v>1316.4</v>
      </c>
      <c r="D209" s="16" t="s">
        <v>485</v>
      </c>
    </row>
    <row r="210" spans="1:4">
      <c r="A210" s="16" t="s">
        <v>545</v>
      </c>
      <c r="B210" s="16" t="s">
        <v>548</v>
      </c>
      <c r="C210" s="16">
        <v>864</v>
      </c>
      <c r="D210" s="16" t="s">
        <v>486</v>
      </c>
    </row>
    <row r="211" spans="1:4">
      <c r="A211" s="16" t="s">
        <v>545</v>
      </c>
      <c r="B211" s="16" t="s">
        <v>548</v>
      </c>
      <c r="C211" s="16">
        <v>936</v>
      </c>
      <c r="D211" s="16" t="s">
        <v>487</v>
      </c>
    </row>
    <row r="212" spans="1:4">
      <c r="A212" s="16" t="s">
        <v>545</v>
      </c>
      <c r="B212" s="16" t="s">
        <v>549</v>
      </c>
      <c r="C212" s="16">
        <v>5154.8500000000004</v>
      </c>
      <c r="D212" s="16" t="s">
        <v>484</v>
      </c>
    </row>
    <row r="213" spans="1:4">
      <c r="A213" s="16" t="s">
        <v>545</v>
      </c>
      <c r="B213" s="16" t="s">
        <v>549</v>
      </c>
      <c r="C213" s="16">
        <v>2099.1999999999998</v>
      </c>
      <c r="D213" s="16" t="s">
        <v>485</v>
      </c>
    </row>
    <row r="214" spans="1:4">
      <c r="A214" s="16" t="s">
        <v>545</v>
      </c>
      <c r="B214" s="16" t="s">
        <v>549</v>
      </c>
      <c r="C214" s="16">
        <v>1500.6</v>
      </c>
      <c r="D214" s="16" t="s">
        <v>486</v>
      </c>
    </row>
    <row r="215" spans="1:4">
      <c r="A215" s="16" t="s">
        <v>545</v>
      </c>
      <c r="B215" s="16" t="s">
        <v>549</v>
      </c>
      <c r="C215" s="16">
        <v>4029.48</v>
      </c>
      <c r="D215" s="16" t="s">
        <v>487</v>
      </c>
    </row>
    <row r="216" spans="1:4">
      <c r="A216" s="16" t="s">
        <v>545</v>
      </c>
      <c r="B216" s="16" t="s">
        <v>550</v>
      </c>
      <c r="C216" s="16">
        <v>5702.4</v>
      </c>
      <c r="D216" s="16" t="s">
        <v>484</v>
      </c>
    </row>
    <row r="217" spans="1:4">
      <c r="A217" s="16" t="s">
        <v>545</v>
      </c>
      <c r="B217" s="16" t="s">
        <v>550</v>
      </c>
      <c r="C217" s="16">
        <v>4456.4399999999996</v>
      </c>
      <c r="D217" s="16" t="s">
        <v>485</v>
      </c>
    </row>
    <row r="218" spans="1:4">
      <c r="A218" s="16" t="s">
        <v>545</v>
      </c>
      <c r="B218" s="16" t="s">
        <v>550</v>
      </c>
      <c r="C218" s="16">
        <v>8912.8799999999992</v>
      </c>
      <c r="D218" s="16" t="s">
        <v>486</v>
      </c>
    </row>
    <row r="219" spans="1:4">
      <c r="A219" s="16" t="s">
        <v>545</v>
      </c>
      <c r="B219" s="16" t="s">
        <v>550</v>
      </c>
      <c r="C219" s="16">
        <v>14037.79</v>
      </c>
      <c r="D219" s="16" t="s">
        <v>487</v>
      </c>
    </row>
    <row r="220" spans="1:4">
      <c r="A220" s="16" t="s">
        <v>545</v>
      </c>
      <c r="B220" s="16" t="s">
        <v>551</v>
      </c>
      <c r="C220" s="16">
        <v>966.42</v>
      </c>
      <c r="D220" s="16" t="s">
        <v>484</v>
      </c>
    </row>
    <row r="221" spans="1:4">
      <c r="A221" s="16" t="s">
        <v>545</v>
      </c>
      <c r="B221" s="16" t="s">
        <v>551</v>
      </c>
      <c r="C221" s="16">
        <v>490.21</v>
      </c>
      <c r="D221" s="16" t="s">
        <v>485</v>
      </c>
    </row>
    <row r="222" spans="1:4">
      <c r="A222" s="16" t="s">
        <v>545</v>
      </c>
      <c r="B222" s="16" t="s">
        <v>551</v>
      </c>
      <c r="C222" s="16">
        <v>666.03</v>
      </c>
      <c r="D222" s="16" t="s">
        <v>486</v>
      </c>
    </row>
    <row r="223" spans="1:4">
      <c r="A223" s="16" t="s">
        <v>545</v>
      </c>
      <c r="B223" s="16" t="s">
        <v>551</v>
      </c>
      <c r="C223" s="16">
        <v>978.93</v>
      </c>
      <c r="D223" s="16" t="s">
        <v>487</v>
      </c>
    </row>
    <row r="224" spans="1:4">
      <c r="A224" s="16" t="s">
        <v>552</v>
      </c>
      <c r="B224" s="16" t="s">
        <v>553</v>
      </c>
      <c r="C224" s="16">
        <v>360</v>
      </c>
      <c r="D224" s="16" t="s">
        <v>484</v>
      </c>
    </row>
    <row r="225" spans="1:4">
      <c r="A225" s="16" t="s">
        <v>552</v>
      </c>
      <c r="B225" s="16" t="s">
        <v>553</v>
      </c>
      <c r="C225" s="16">
        <v>128</v>
      </c>
      <c r="D225" s="16" t="s">
        <v>485</v>
      </c>
    </row>
    <row r="226" spans="1:4">
      <c r="A226" s="16" t="s">
        <v>552</v>
      </c>
      <c r="B226" s="16" t="s">
        <v>553</v>
      </c>
      <c r="C226" s="16">
        <v>400</v>
      </c>
      <c r="D226" s="16" t="s">
        <v>487</v>
      </c>
    </row>
    <row r="227" spans="1:4">
      <c r="A227" s="16" t="s">
        <v>552</v>
      </c>
      <c r="B227" s="16" t="s">
        <v>554</v>
      </c>
      <c r="C227" s="16">
        <v>1411.92</v>
      </c>
      <c r="D227" s="16" t="s">
        <v>484</v>
      </c>
    </row>
    <row r="228" spans="1:4">
      <c r="A228" s="16" t="s">
        <v>552</v>
      </c>
      <c r="B228" s="16" t="s">
        <v>554</v>
      </c>
      <c r="C228" s="16">
        <v>8384.6</v>
      </c>
      <c r="D228" s="16" t="s">
        <v>485</v>
      </c>
    </row>
    <row r="229" spans="1:4">
      <c r="A229" s="16" t="s">
        <v>552</v>
      </c>
      <c r="B229" s="16" t="s">
        <v>554</v>
      </c>
      <c r="C229" s="16">
        <v>1855</v>
      </c>
      <c r="D229" s="16" t="s">
        <v>486</v>
      </c>
    </row>
    <row r="230" spans="1:4">
      <c r="A230" s="16" t="s">
        <v>552</v>
      </c>
      <c r="B230" s="16" t="s">
        <v>554</v>
      </c>
      <c r="C230" s="16">
        <v>11898.5</v>
      </c>
      <c r="D230" s="16" t="s">
        <v>487</v>
      </c>
    </row>
    <row r="231" spans="1:4">
      <c r="A231" s="16" t="s">
        <v>552</v>
      </c>
      <c r="B231" s="16" t="s">
        <v>555</v>
      </c>
      <c r="C231" s="16">
        <v>4105.92</v>
      </c>
      <c r="D231" s="16" t="s">
        <v>484</v>
      </c>
    </row>
    <row r="232" spans="1:4">
      <c r="A232" s="16" t="s">
        <v>552</v>
      </c>
      <c r="B232" s="16" t="s">
        <v>555</v>
      </c>
      <c r="C232" s="16">
        <v>3310.56</v>
      </c>
      <c r="D232" s="16" t="s">
        <v>485</v>
      </c>
    </row>
    <row r="233" spans="1:4">
      <c r="A233" s="16" t="s">
        <v>552</v>
      </c>
      <c r="B233" s="16" t="s">
        <v>555</v>
      </c>
      <c r="C233" s="16">
        <v>1881</v>
      </c>
      <c r="D233" s="16" t="s">
        <v>486</v>
      </c>
    </row>
    <row r="234" spans="1:4">
      <c r="A234" s="16" t="s">
        <v>552</v>
      </c>
      <c r="B234" s="16" t="s">
        <v>555</v>
      </c>
      <c r="C234" s="16">
        <v>3556.8</v>
      </c>
      <c r="D234" s="16" t="s">
        <v>487</v>
      </c>
    </row>
    <row r="235" spans="1:4">
      <c r="A235" s="16" t="s">
        <v>552</v>
      </c>
      <c r="B235" s="16" t="s">
        <v>556</v>
      </c>
      <c r="C235" s="16">
        <v>2018.1</v>
      </c>
      <c r="D235" s="16" t="s">
        <v>484</v>
      </c>
    </row>
    <row r="236" spans="1:4">
      <c r="A236" s="16" t="s">
        <v>552</v>
      </c>
      <c r="B236" s="16" t="s">
        <v>556</v>
      </c>
      <c r="C236" s="16">
        <v>2185.5</v>
      </c>
      <c r="D236" s="16" t="s">
        <v>485</v>
      </c>
    </row>
    <row r="237" spans="1:4">
      <c r="A237" s="16" t="s">
        <v>552</v>
      </c>
      <c r="B237" s="16" t="s">
        <v>556</v>
      </c>
      <c r="C237" s="16">
        <v>1866.97</v>
      </c>
      <c r="D237" s="16" t="s">
        <v>486</v>
      </c>
    </row>
    <row r="238" spans="1:4">
      <c r="A238" s="16" t="s">
        <v>552</v>
      </c>
      <c r="B238" s="16" t="s">
        <v>556</v>
      </c>
      <c r="C238" s="16">
        <v>470.81</v>
      </c>
      <c r="D238" s="16" t="s">
        <v>487</v>
      </c>
    </row>
    <row r="239" spans="1:4">
      <c r="A239" s="16" t="s">
        <v>552</v>
      </c>
      <c r="B239" s="16" t="s">
        <v>557</v>
      </c>
      <c r="C239" s="16">
        <v>1084.8</v>
      </c>
      <c r="D239" s="16" t="s">
        <v>484</v>
      </c>
    </row>
    <row r="240" spans="1:4">
      <c r="A240" s="16" t="s">
        <v>552</v>
      </c>
      <c r="B240" s="16" t="s">
        <v>557</v>
      </c>
      <c r="C240" s="16">
        <v>1575</v>
      </c>
      <c r="D240" s="16" t="s">
        <v>485</v>
      </c>
    </row>
    <row r="241" spans="1:4">
      <c r="A241" s="16" t="s">
        <v>552</v>
      </c>
      <c r="B241" s="16" t="s">
        <v>557</v>
      </c>
      <c r="C241" s="16">
        <v>2700</v>
      </c>
      <c r="D241" s="16" t="s">
        <v>486</v>
      </c>
    </row>
    <row r="242" spans="1:4">
      <c r="A242" s="16" t="s">
        <v>552</v>
      </c>
      <c r="B242" s="16" t="s">
        <v>557</v>
      </c>
      <c r="C242" s="16">
        <v>3826.5</v>
      </c>
      <c r="D242" s="16" t="s">
        <v>487</v>
      </c>
    </row>
    <row r="243" spans="1:4">
      <c r="A243" s="16" t="s">
        <v>558</v>
      </c>
      <c r="B243" s="16" t="s">
        <v>559</v>
      </c>
      <c r="C243" s="16">
        <v>1474.41</v>
      </c>
      <c r="D243" s="16" t="s">
        <v>484</v>
      </c>
    </row>
    <row r="244" spans="1:4">
      <c r="A244" s="16" t="s">
        <v>558</v>
      </c>
      <c r="B244" s="16" t="s">
        <v>559</v>
      </c>
      <c r="C244" s="16">
        <v>2272</v>
      </c>
      <c r="D244" s="16" t="s">
        <v>485</v>
      </c>
    </row>
    <row r="245" spans="1:4">
      <c r="A245" s="16" t="s">
        <v>558</v>
      </c>
      <c r="B245" s="16" t="s">
        <v>559</v>
      </c>
      <c r="C245" s="16">
        <v>3887.92</v>
      </c>
      <c r="D245" s="16" t="s">
        <v>486</v>
      </c>
    </row>
    <row r="246" spans="1:4">
      <c r="A246" s="16" t="s">
        <v>558</v>
      </c>
      <c r="B246" s="16" t="s">
        <v>559</v>
      </c>
      <c r="C246" s="16">
        <v>2162</v>
      </c>
      <c r="D246" s="16" t="s">
        <v>487</v>
      </c>
    </row>
    <row r="247" spans="1:4">
      <c r="A247" s="16" t="s">
        <v>558</v>
      </c>
      <c r="B247" s="16" t="s">
        <v>560</v>
      </c>
      <c r="C247" s="16">
        <v>1500</v>
      </c>
      <c r="D247" s="16" t="s">
        <v>484</v>
      </c>
    </row>
    <row r="248" spans="1:4">
      <c r="A248" s="16" t="s">
        <v>558</v>
      </c>
      <c r="B248" s="16" t="s">
        <v>560</v>
      </c>
      <c r="C248" s="16">
        <v>2362.5</v>
      </c>
      <c r="D248" s="16" t="s">
        <v>485</v>
      </c>
    </row>
    <row r="249" spans="1:4">
      <c r="A249" s="16" t="s">
        <v>558</v>
      </c>
      <c r="B249" s="16" t="s">
        <v>560</v>
      </c>
      <c r="C249" s="16">
        <v>7100</v>
      </c>
      <c r="D249" s="16" t="s">
        <v>486</v>
      </c>
    </row>
    <row r="250" spans="1:4">
      <c r="A250" s="16" t="s">
        <v>558</v>
      </c>
      <c r="B250" s="16" t="s">
        <v>560</v>
      </c>
      <c r="C250" s="16">
        <v>4987.5</v>
      </c>
      <c r="D250" s="16" t="s">
        <v>487</v>
      </c>
    </row>
    <row r="251" spans="1:4">
      <c r="A251" s="16" t="s">
        <v>558</v>
      </c>
      <c r="B251" s="16" t="s">
        <v>561</v>
      </c>
      <c r="C251" s="16">
        <v>265</v>
      </c>
      <c r="D251" s="16" t="s">
        <v>485</v>
      </c>
    </row>
    <row r="252" spans="1:4">
      <c r="A252" s="16" t="s">
        <v>558</v>
      </c>
      <c r="B252" s="16" t="s">
        <v>561</v>
      </c>
      <c r="C252" s="16">
        <v>1393.9</v>
      </c>
      <c r="D252" s="16" t="s">
        <v>486</v>
      </c>
    </row>
    <row r="253" spans="1:4">
      <c r="A253" s="16" t="s">
        <v>558</v>
      </c>
      <c r="B253" s="16" t="s">
        <v>561</v>
      </c>
      <c r="C253" s="16">
        <v>417.38</v>
      </c>
      <c r="D253" s="16" t="s">
        <v>487</v>
      </c>
    </row>
    <row r="254" spans="1:4">
      <c r="A254" s="16" t="s">
        <v>558</v>
      </c>
      <c r="B254" s="16" t="s">
        <v>562</v>
      </c>
      <c r="C254" s="16">
        <v>208</v>
      </c>
      <c r="D254" s="16" t="s">
        <v>484</v>
      </c>
    </row>
    <row r="255" spans="1:4">
      <c r="A255" s="16" t="s">
        <v>558</v>
      </c>
      <c r="B255" s="16" t="s">
        <v>562</v>
      </c>
      <c r="C255" s="16">
        <v>421.2</v>
      </c>
      <c r="D255" s="16" t="s">
        <v>485</v>
      </c>
    </row>
    <row r="256" spans="1:4">
      <c r="A256" s="16" t="s">
        <v>558</v>
      </c>
      <c r="B256" s="16" t="s">
        <v>563</v>
      </c>
      <c r="C256" s="16">
        <v>1215.2</v>
      </c>
      <c r="D256" s="16" t="s">
        <v>484</v>
      </c>
    </row>
    <row r="257" spans="1:4">
      <c r="A257" s="16" t="s">
        <v>558</v>
      </c>
      <c r="B257" s="16" t="s">
        <v>563</v>
      </c>
      <c r="C257" s="16">
        <v>533.20000000000005</v>
      </c>
      <c r="D257" s="16" t="s">
        <v>485</v>
      </c>
    </row>
    <row r="258" spans="1:4">
      <c r="A258" s="16" t="s">
        <v>558</v>
      </c>
      <c r="B258" s="16" t="s">
        <v>563</v>
      </c>
      <c r="C258" s="16">
        <v>3747.9</v>
      </c>
      <c r="D258" s="16" t="s">
        <v>486</v>
      </c>
    </row>
    <row r="259" spans="1:4">
      <c r="A259" s="16" t="s">
        <v>558</v>
      </c>
      <c r="B259" s="16" t="s">
        <v>563</v>
      </c>
      <c r="C259" s="16">
        <v>3323.2</v>
      </c>
      <c r="D259" s="16" t="s">
        <v>487</v>
      </c>
    </row>
    <row r="260" spans="1:4">
      <c r="A260" s="16" t="s">
        <v>558</v>
      </c>
      <c r="B260" s="16" t="s">
        <v>564</v>
      </c>
      <c r="C260" s="16">
        <v>68.400000000000006</v>
      </c>
      <c r="D260" s="16" t="s">
        <v>484</v>
      </c>
    </row>
    <row r="261" spans="1:4">
      <c r="A261" s="16" t="s">
        <v>558</v>
      </c>
      <c r="B261" s="16" t="s">
        <v>564</v>
      </c>
      <c r="C261" s="16">
        <v>2698</v>
      </c>
      <c r="D261" s="16" t="s">
        <v>485</v>
      </c>
    </row>
    <row r="262" spans="1:4">
      <c r="A262" s="16" t="s">
        <v>558</v>
      </c>
      <c r="B262" s="16" t="s">
        <v>564</v>
      </c>
      <c r="C262" s="16">
        <v>2199.25</v>
      </c>
      <c r="D262" s="16" t="s">
        <v>486</v>
      </c>
    </row>
    <row r="263" spans="1:4">
      <c r="A263" s="16" t="s">
        <v>558</v>
      </c>
      <c r="B263" s="16" t="s">
        <v>564</v>
      </c>
      <c r="C263" s="16">
        <v>1928.5</v>
      </c>
      <c r="D263" s="16" t="s">
        <v>487</v>
      </c>
    </row>
    <row r="264" spans="1:4">
      <c r="A264" s="16" t="s">
        <v>558</v>
      </c>
      <c r="B264" s="16" t="s">
        <v>565</v>
      </c>
      <c r="C264" s="16">
        <v>385</v>
      </c>
      <c r="D264" s="16" t="s">
        <v>484</v>
      </c>
    </row>
    <row r="265" spans="1:4">
      <c r="A265" s="16" t="s">
        <v>558</v>
      </c>
      <c r="B265" s="16" t="s">
        <v>565</v>
      </c>
      <c r="C265" s="16">
        <v>1242.52</v>
      </c>
      <c r="D265" s="16" t="s">
        <v>485</v>
      </c>
    </row>
    <row r="266" spans="1:4">
      <c r="A266" s="16" t="s">
        <v>558</v>
      </c>
      <c r="B266" s="16" t="s">
        <v>565</v>
      </c>
      <c r="C266" s="16">
        <v>468.51</v>
      </c>
      <c r="D266" s="16" t="s">
        <v>486</v>
      </c>
    </row>
    <row r="267" spans="1:4">
      <c r="A267" s="16" t="s">
        <v>558</v>
      </c>
      <c r="B267" s="16" t="s">
        <v>565</v>
      </c>
      <c r="C267" s="16">
        <v>2542.77</v>
      </c>
      <c r="D267" s="16" t="s">
        <v>487</v>
      </c>
    </row>
    <row r="268" spans="1:4">
      <c r="A268" s="16" t="s">
        <v>558</v>
      </c>
      <c r="B268" s="16" t="s">
        <v>566</v>
      </c>
      <c r="C268" s="16">
        <v>61.44</v>
      </c>
      <c r="D268" s="16" t="s">
        <v>484</v>
      </c>
    </row>
    <row r="269" spans="1:4">
      <c r="A269" s="16" t="s">
        <v>558</v>
      </c>
      <c r="B269" s="16" t="s">
        <v>566</v>
      </c>
      <c r="C269" s="16">
        <v>168</v>
      </c>
      <c r="D269" s="16" t="s">
        <v>485</v>
      </c>
    </row>
    <row r="270" spans="1:4">
      <c r="A270" s="16" t="s">
        <v>558</v>
      </c>
      <c r="B270" s="16" t="s">
        <v>566</v>
      </c>
      <c r="C270" s="16">
        <v>469.5</v>
      </c>
      <c r="D270" s="16" t="s">
        <v>486</v>
      </c>
    </row>
    <row r="271" spans="1:4">
      <c r="A271" s="16" t="s">
        <v>558</v>
      </c>
      <c r="B271" s="16" t="s">
        <v>566</v>
      </c>
      <c r="C271" s="16">
        <v>60</v>
      </c>
      <c r="D271" s="16" t="s">
        <v>487</v>
      </c>
    </row>
    <row r="272" spans="1:4">
      <c r="A272" s="16" t="s">
        <v>558</v>
      </c>
      <c r="B272" s="16" t="s">
        <v>567</v>
      </c>
      <c r="C272" s="16">
        <v>1308.24</v>
      </c>
      <c r="D272" s="16" t="s">
        <v>484</v>
      </c>
    </row>
    <row r="273" spans="1:4">
      <c r="A273" s="16" t="s">
        <v>558</v>
      </c>
      <c r="B273" s="16" t="s">
        <v>567</v>
      </c>
      <c r="C273" s="16">
        <v>1838.19</v>
      </c>
      <c r="D273" s="16" t="s">
        <v>485</v>
      </c>
    </row>
    <row r="274" spans="1:4">
      <c r="A274" s="16" t="s">
        <v>558</v>
      </c>
      <c r="B274" s="16" t="s">
        <v>567</v>
      </c>
      <c r="C274" s="16">
        <v>815.54</v>
      </c>
      <c r="D274" s="16" t="s">
        <v>486</v>
      </c>
    </row>
    <row r="275" spans="1:4">
      <c r="A275" s="16" t="s">
        <v>558</v>
      </c>
      <c r="B275" s="16" t="s">
        <v>567</v>
      </c>
      <c r="C275" s="16">
        <v>1922.33</v>
      </c>
      <c r="D275" s="16" t="s">
        <v>487</v>
      </c>
    </row>
    <row r="276" spans="1:4">
      <c r="A276" s="16" t="s">
        <v>558</v>
      </c>
      <c r="B276" s="16" t="s">
        <v>568</v>
      </c>
      <c r="C276" s="16">
        <v>216</v>
      </c>
      <c r="D276" s="16" t="s">
        <v>484</v>
      </c>
    </row>
    <row r="277" spans="1:4">
      <c r="A277" s="16" t="s">
        <v>558</v>
      </c>
      <c r="B277" s="16" t="s">
        <v>568</v>
      </c>
      <c r="C277" s="16">
        <v>714</v>
      </c>
      <c r="D277" s="16" t="s">
        <v>485</v>
      </c>
    </row>
    <row r="278" spans="1:4">
      <c r="A278" s="16" t="s">
        <v>558</v>
      </c>
      <c r="B278" s="16" t="s">
        <v>568</v>
      </c>
      <c r="C278" s="16">
        <v>1646.25</v>
      </c>
      <c r="D278" s="16" t="s">
        <v>486</v>
      </c>
    </row>
    <row r="279" spans="1:4">
      <c r="A279" s="16" t="s">
        <v>558</v>
      </c>
      <c r="B279" s="16" t="s">
        <v>568</v>
      </c>
      <c r="C279" s="16">
        <v>941.25</v>
      </c>
      <c r="D279" s="16" t="s">
        <v>487</v>
      </c>
    </row>
    <row r="280" spans="1:4">
      <c r="A280" s="16" t="s">
        <v>558</v>
      </c>
      <c r="B280" s="16" t="s">
        <v>569</v>
      </c>
      <c r="C280" s="16">
        <v>205.2</v>
      </c>
      <c r="D280" s="16" t="s">
        <v>484</v>
      </c>
    </row>
    <row r="281" spans="1:4">
      <c r="A281" s="16" t="s">
        <v>558</v>
      </c>
      <c r="B281" s="16" t="s">
        <v>569</v>
      </c>
      <c r="C281" s="16">
        <v>1007</v>
      </c>
      <c r="D281" s="16" t="s">
        <v>485</v>
      </c>
    </row>
    <row r="282" spans="1:4">
      <c r="A282" s="16" t="s">
        <v>558</v>
      </c>
      <c r="B282" s="16" t="s">
        <v>569</v>
      </c>
      <c r="C282" s="16">
        <v>190</v>
      </c>
      <c r="D282" s="16" t="s">
        <v>486</v>
      </c>
    </row>
    <row r="283" spans="1:4">
      <c r="A283" s="16" t="s">
        <v>558</v>
      </c>
      <c r="B283" s="16" t="s">
        <v>569</v>
      </c>
      <c r="C283" s="16">
        <v>1953.67</v>
      </c>
      <c r="D283" s="16" t="s">
        <v>487</v>
      </c>
    </row>
    <row r="284" spans="1:4">
      <c r="A284" s="16" t="s">
        <v>558</v>
      </c>
      <c r="B284" s="16" t="s">
        <v>570</v>
      </c>
      <c r="C284" s="16">
        <v>803.52</v>
      </c>
      <c r="D284" s="16" t="s">
        <v>484</v>
      </c>
    </row>
    <row r="285" spans="1:4">
      <c r="A285" s="16" t="s">
        <v>558</v>
      </c>
      <c r="B285" s="16" t="s">
        <v>570</v>
      </c>
      <c r="C285" s="16">
        <v>91.8</v>
      </c>
      <c r="D285" s="16" t="s">
        <v>485</v>
      </c>
    </row>
    <row r="286" spans="1:4">
      <c r="A286" s="16" t="s">
        <v>558</v>
      </c>
      <c r="B286" s="16" t="s">
        <v>570</v>
      </c>
      <c r="C286" s="16">
        <v>1504.8</v>
      </c>
      <c r="D286" s="16" t="s">
        <v>486</v>
      </c>
    </row>
    <row r="287" spans="1:4">
      <c r="A287" s="16" t="s">
        <v>558</v>
      </c>
      <c r="B287" s="16" t="s">
        <v>570</v>
      </c>
      <c r="C287" s="16">
        <v>823.2</v>
      </c>
      <c r="D287" s="16" t="s">
        <v>487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4AF75-8C08-4706-9C76-218C479CC911}">
  <sheetPr codeName="Sheet26"/>
  <dimension ref="A1:A118"/>
  <sheetViews>
    <sheetView showOutlineSymbols="0" showWhiteSpace="0" workbookViewId="0"/>
  </sheetViews>
  <sheetFormatPr defaultRowHeight="14.4"/>
  <cols>
    <col min="1" max="1" width="179.77734375" customWidth="1"/>
    <col min="2" max="2" width="17.44140625" customWidth="1"/>
  </cols>
  <sheetData>
    <row r="1" spans="1:1" ht="21">
      <c r="A1" s="18" t="s">
        <v>314</v>
      </c>
    </row>
    <row r="2" spans="1:1" ht="15.6">
      <c r="A2" s="1"/>
    </row>
    <row r="3" spans="1:1" ht="15.6">
      <c r="A3" s="3" t="s">
        <v>315</v>
      </c>
    </row>
    <row r="4" spans="1:1" ht="15.6">
      <c r="A4" s="3" t="s">
        <v>316</v>
      </c>
    </row>
    <row r="5" spans="1:1" ht="15.6">
      <c r="A5" s="3" t="s">
        <v>317</v>
      </c>
    </row>
    <row r="6" spans="1:1" ht="15.6">
      <c r="A6" s="3" t="s">
        <v>318</v>
      </c>
    </row>
    <row r="7" spans="1:1" ht="15.6">
      <c r="A7" s="3"/>
    </row>
    <row r="8" spans="1:1" ht="31.2">
      <c r="A8" s="3" t="s">
        <v>319</v>
      </c>
    </row>
    <row r="9" spans="1:1" ht="15.6">
      <c r="A9" s="3"/>
    </row>
    <row r="10" spans="1:1" ht="15.6">
      <c r="A10" s="2" t="s">
        <v>320</v>
      </c>
    </row>
    <row r="11" spans="1:1" ht="15.6">
      <c r="A11" s="2" t="s">
        <v>321</v>
      </c>
    </row>
    <row r="12" spans="1:1" ht="15.6">
      <c r="A12" s="2" t="s">
        <v>322</v>
      </c>
    </row>
    <row r="13" spans="1:1" ht="15.6">
      <c r="A13" s="2"/>
    </row>
    <row r="14" spans="1:1" ht="15.6">
      <c r="A14" s="48" t="s">
        <v>323</v>
      </c>
    </row>
    <row r="15" spans="1:1" ht="46.8">
      <c r="A15" s="3" t="s">
        <v>324</v>
      </c>
    </row>
    <row r="16" spans="1:1" ht="31.2">
      <c r="A16" s="3" t="s">
        <v>395</v>
      </c>
    </row>
    <row r="18" spans="1:1" ht="15.6">
      <c r="A18" s="48" t="s">
        <v>326</v>
      </c>
    </row>
    <row r="19" spans="1:1" ht="15.6">
      <c r="A19" s="3" t="s">
        <v>327</v>
      </c>
    </row>
    <row r="20" spans="1:1" ht="15.6">
      <c r="A20" s="2" t="s">
        <v>328</v>
      </c>
    </row>
    <row r="21" spans="1:1" ht="15.6">
      <c r="A21" s="2" t="s">
        <v>329</v>
      </c>
    </row>
    <row r="22" spans="1:1" ht="15.6">
      <c r="A22" s="2" t="s">
        <v>330</v>
      </c>
    </row>
    <row r="23" spans="1:1" ht="15.6">
      <c r="A23" s="2" t="s">
        <v>331</v>
      </c>
    </row>
    <row r="24" spans="1:1" ht="15.6">
      <c r="A24" s="2" t="s">
        <v>396</v>
      </c>
    </row>
    <row r="25" spans="1:1" ht="15.6">
      <c r="A25" s="2" t="s">
        <v>397</v>
      </c>
    </row>
    <row r="26" spans="1:1" ht="15.6">
      <c r="A26" s="2"/>
    </row>
    <row r="27" spans="1:1" ht="15.6">
      <c r="A27" s="3" t="s">
        <v>398</v>
      </c>
    </row>
    <row r="28" spans="1:1" ht="15.6">
      <c r="A28" s="2"/>
    </row>
    <row r="29" spans="1:1" ht="15.6">
      <c r="A29" s="48" t="s">
        <v>332</v>
      </c>
    </row>
    <row r="30" spans="1:1" ht="31.2">
      <c r="A30" s="3" t="s">
        <v>333</v>
      </c>
    </row>
    <row r="31" spans="1:1" ht="15.6">
      <c r="A31" s="3"/>
    </row>
    <row r="32" spans="1:1" ht="15.6">
      <c r="A32" s="48" t="s">
        <v>334</v>
      </c>
    </row>
    <row r="33" spans="1:1" ht="31.2">
      <c r="A33" s="3" t="s">
        <v>399</v>
      </c>
    </row>
    <row r="34" spans="1:1" ht="15.6">
      <c r="A34" s="3"/>
    </row>
    <row r="35" spans="1:1" ht="15.6">
      <c r="A35" s="3" t="s">
        <v>335</v>
      </c>
    </row>
    <row r="36" spans="1:1" ht="15.6">
      <c r="A36" s="2" t="s">
        <v>336</v>
      </c>
    </row>
    <row r="37" spans="1:1" ht="31.2">
      <c r="A37" s="2" t="s">
        <v>337</v>
      </c>
    </row>
    <row r="38" spans="1:1" ht="15.6">
      <c r="A38" s="2" t="s">
        <v>338</v>
      </c>
    </row>
    <row r="39" spans="1:1" ht="15.6">
      <c r="A39" s="2" t="s">
        <v>339</v>
      </c>
    </row>
    <row r="40" spans="1:1" ht="15.6">
      <c r="A40" s="2" t="s">
        <v>340</v>
      </c>
    </row>
    <row r="41" spans="1:1" ht="15.6">
      <c r="A41" s="2" t="s">
        <v>341</v>
      </c>
    </row>
    <row r="42" spans="1:1" ht="15.6">
      <c r="A42" s="2"/>
    </row>
    <row r="43" spans="1:1" ht="15.6">
      <c r="A43" s="48" t="s">
        <v>342</v>
      </c>
    </row>
    <row r="44" spans="1:1" ht="31.2">
      <c r="A44" s="3" t="s">
        <v>343</v>
      </c>
    </row>
    <row r="45" spans="1:1" ht="15.6">
      <c r="A45" s="3" t="s">
        <v>344</v>
      </c>
    </row>
    <row r="46" spans="1:1" ht="15.6">
      <c r="A46" s="2"/>
    </row>
    <row r="47" spans="1:1" ht="15.6">
      <c r="A47" s="2" t="s">
        <v>345</v>
      </c>
    </row>
    <row r="48" spans="1:1" ht="15.6">
      <c r="A48" s="2" t="s">
        <v>346</v>
      </c>
    </row>
    <row r="49" spans="1:1" ht="15.6">
      <c r="A49" s="2" t="s">
        <v>347</v>
      </c>
    </row>
    <row r="50" spans="1:1" ht="15.6">
      <c r="A50" s="2" t="s">
        <v>348</v>
      </c>
    </row>
    <row r="51" spans="1:1" ht="15.6">
      <c r="A51" s="2" t="s">
        <v>349</v>
      </c>
    </row>
    <row r="52" spans="1:1" ht="15.6">
      <c r="A52" s="2" t="s">
        <v>350</v>
      </c>
    </row>
    <row r="53" spans="1:1" ht="15.6">
      <c r="A53" s="2" t="s">
        <v>351</v>
      </c>
    </row>
    <row r="54" spans="1:1" ht="15.6">
      <c r="A54" s="3"/>
    </row>
    <row r="55" spans="1:1" ht="15.6">
      <c r="A55" s="48" t="s">
        <v>352</v>
      </c>
    </row>
    <row r="56" spans="1:1" ht="46.8">
      <c r="A56" s="3" t="s">
        <v>353</v>
      </c>
    </row>
    <row r="57" spans="1:1" ht="15.6">
      <c r="A57" s="3"/>
    </row>
    <row r="58" spans="1:1" ht="15.6">
      <c r="A58" s="3" t="s">
        <v>354</v>
      </c>
    </row>
    <row r="59" spans="1:1" ht="15.6">
      <c r="A59" s="3" t="s">
        <v>355</v>
      </c>
    </row>
    <row r="60" spans="1:1" ht="15.6">
      <c r="A60" s="3" t="s">
        <v>356</v>
      </c>
    </row>
    <row r="61" spans="1:1" ht="15.6">
      <c r="A61" s="3" t="s">
        <v>357</v>
      </c>
    </row>
    <row r="62" spans="1:1" ht="15.6">
      <c r="A62" s="3" t="s">
        <v>358</v>
      </c>
    </row>
    <row r="63" spans="1:1" ht="15.6">
      <c r="A63" s="3" t="s">
        <v>359</v>
      </c>
    </row>
    <row r="64" spans="1:1" ht="15.6">
      <c r="A64" s="3" t="s">
        <v>360</v>
      </c>
    </row>
    <row r="65" spans="1:1" ht="15.6">
      <c r="A65" s="3"/>
    </row>
    <row r="66" spans="1:1" ht="15.6">
      <c r="A66" s="48" t="s">
        <v>361</v>
      </c>
    </row>
    <row r="67" spans="1:1" ht="31.2">
      <c r="A67" s="3" t="s">
        <v>362</v>
      </c>
    </row>
    <row r="68" spans="1:1" ht="15.6">
      <c r="A68" s="3"/>
    </row>
    <row r="69" spans="1:1" ht="15.6">
      <c r="A69" s="3" t="s">
        <v>363</v>
      </c>
    </row>
    <row r="70" spans="1:1" ht="15.6">
      <c r="A70" s="2" t="s">
        <v>328</v>
      </c>
    </row>
    <row r="71" spans="1:1" ht="15.6">
      <c r="A71" s="2" t="s">
        <v>364</v>
      </c>
    </row>
    <row r="72" spans="1:1" ht="15.6">
      <c r="A72" s="2" t="s">
        <v>365</v>
      </c>
    </row>
    <row r="73" spans="1:1" ht="15.6">
      <c r="A73" s="2" t="s">
        <v>366</v>
      </c>
    </row>
    <row r="74" spans="1:1" ht="15.6">
      <c r="A74" s="2" t="s">
        <v>367</v>
      </c>
    </row>
    <row r="75" spans="1:1" ht="15.6">
      <c r="A75" s="2" t="s">
        <v>368</v>
      </c>
    </row>
    <row r="76" spans="1:1" ht="15.6">
      <c r="A76" s="2" t="s">
        <v>439</v>
      </c>
    </row>
    <row r="77" spans="1:1" ht="15.6">
      <c r="A77" s="2" t="s">
        <v>440</v>
      </c>
    </row>
    <row r="78" spans="1:1" ht="15.6">
      <c r="A78" s="3" t="s">
        <v>369</v>
      </c>
    </row>
    <row r="79" spans="1:1" ht="15.6">
      <c r="A79" s="1"/>
    </row>
    <row r="80" spans="1:1" ht="15.6">
      <c r="A80" s="3" t="s">
        <v>445</v>
      </c>
    </row>
    <row r="81" spans="1:1" ht="15.6">
      <c r="A81" s="1"/>
    </row>
    <row r="82" spans="1:1" ht="15.6">
      <c r="A82" s="3" t="s">
        <v>370</v>
      </c>
    </row>
    <row r="83" spans="1:1" ht="15.6">
      <c r="A83" s="3"/>
    </row>
    <row r="84" spans="1:1" ht="15.6">
      <c r="A84" s="48" t="s">
        <v>371</v>
      </c>
    </row>
    <row r="85" spans="1:1" ht="15.6">
      <c r="A85" s="2" t="s">
        <v>372</v>
      </c>
    </row>
    <row r="86" spans="1:1" ht="31.2">
      <c r="A86" s="2" t="s">
        <v>373</v>
      </c>
    </row>
    <row r="87" spans="1:1" ht="15.6">
      <c r="A87" s="3"/>
    </row>
    <row r="88" spans="1:1" ht="15.6">
      <c r="A88" s="48" t="s">
        <v>374</v>
      </c>
    </row>
    <row r="89" spans="1:1" ht="15.6">
      <c r="A89" s="2" t="s">
        <v>328</v>
      </c>
    </row>
    <row r="90" spans="1:1" ht="31.2">
      <c r="A90" s="2" t="s">
        <v>375</v>
      </c>
    </row>
    <row r="91" spans="1:1" ht="15.6">
      <c r="A91" s="2"/>
    </row>
    <row r="92" spans="1:1" ht="15.6">
      <c r="A92" s="48" t="s">
        <v>376</v>
      </c>
    </row>
    <row r="93" spans="1:1" ht="15.6">
      <c r="A93" s="3" t="s">
        <v>377</v>
      </c>
    </row>
    <row r="94" spans="1:1" ht="15.6">
      <c r="A94" s="2" t="s">
        <v>328</v>
      </c>
    </row>
    <row r="95" spans="1:1" ht="15.6">
      <c r="A95" s="2" t="s">
        <v>378</v>
      </c>
    </row>
    <row r="96" spans="1:1" ht="15.6">
      <c r="A96" s="2" t="s">
        <v>441</v>
      </c>
    </row>
    <row r="97" spans="1:1" ht="15.6">
      <c r="A97" s="2" t="s">
        <v>442</v>
      </c>
    </row>
    <row r="98" spans="1:1" ht="15.6">
      <c r="A98" s="2" t="s">
        <v>379</v>
      </c>
    </row>
    <row r="99" spans="1:1" ht="15.6">
      <c r="A99" s="2"/>
    </row>
    <row r="100" spans="1:1" ht="15.6">
      <c r="A100" s="48" t="s">
        <v>380</v>
      </c>
    </row>
    <row r="101" spans="1:1" ht="31.2">
      <c r="A101" s="3" t="s">
        <v>381</v>
      </c>
    </row>
    <row r="102" spans="1:1" ht="15.6">
      <c r="A102" s="2" t="s">
        <v>382</v>
      </c>
    </row>
    <row r="103" spans="1:1" ht="15.6">
      <c r="A103" s="2" t="s">
        <v>383</v>
      </c>
    </row>
    <row r="104" spans="1:1" ht="15.6">
      <c r="A104" s="2" t="s">
        <v>384</v>
      </c>
    </row>
    <row r="105" spans="1:1" ht="15.6">
      <c r="A105" s="2" t="s">
        <v>443</v>
      </c>
    </row>
    <row r="106" spans="1:1" ht="15.6">
      <c r="A106" s="2" t="s">
        <v>444</v>
      </c>
    </row>
    <row r="107" spans="1:1" ht="15.6">
      <c r="A107" s="2" t="s">
        <v>385</v>
      </c>
    </row>
    <row r="108" spans="1:1" ht="15.6">
      <c r="A108" s="2" t="s">
        <v>386</v>
      </c>
    </row>
    <row r="109" spans="1:1" ht="15.6">
      <c r="A109" s="2" t="s">
        <v>387</v>
      </c>
    </row>
    <row r="110" spans="1:1" ht="15.6">
      <c r="A110" s="2"/>
    </row>
    <row r="111" spans="1:1" ht="15.6">
      <c r="A111" s="48" t="s">
        <v>388</v>
      </c>
    </row>
    <row r="112" spans="1:1" ht="15.6">
      <c r="A112" s="3" t="s">
        <v>389</v>
      </c>
    </row>
    <row r="113" spans="1:1" ht="15.6">
      <c r="A113" s="3" t="s">
        <v>390</v>
      </c>
    </row>
    <row r="114" spans="1:1" ht="31.2">
      <c r="A114" s="3" t="s">
        <v>391</v>
      </c>
    </row>
    <row r="115" spans="1:1" ht="15.6">
      <c r="A115" s="3" t="s">
        <v>392</v>
      </c>
    </row>
    <row r="116" spans="1:1" ht="31.2">
      <c r="A116" s="3" t="s">
        <v>393</v>
      </c>
    </row>
    <row r="117" spans="1:1" ht="15.6">
      <c r="A117" s="3"/>
    </row>
    <row r="118" spans="1:1" ht="15.6">
      <c r="A118" s="2" t="s">
        <v>394</v>
      </c>
    </row>
  </sheetData>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52909-BA10-4F57-BF83-6A7F4E3EED58}">
  <sheetPr>
    <tabColor rgb="FFFFC000"/>
  </sheetPr>
  <dimension ref="B1:I10"/>
  <sheetViews>
    <sheetView showOutlineSymbols="0" showWhiteSpace="0" workbookViewId="0"/>
  </sheetViews>
  <sheetFormatPr defaultColWidth="8.77734375" defaultRowHeight="14.4"/>
  <cols>
    <col min="1" max="1" width="2.21875" style="65" customWidth="1"/>
    <col min="2" max="2" width="10.5546875" style="79" customWidth="1"/>
    <col min="3" max="3" width="70" style="65" bestFit="1" customWidth="1"/>
    <col min="4" max="4" width="16.5546875" style="65" bestFit="1" customWidth="1"/>
    <col min="5" max="5" width="11.77734375" style="65" customWidth="1"/>
    <col min="6" max="6" width="10.6640625" style="65" bestFit="1" customWidth="1"/>
    <col min="7" max="7" width="13" style="65" bestFit="1" customWidth="1"/>
    <col min="8" max="8" width="13.33203125" style="65" bestFit="1" customWidth="1"/>
    <col min="9" max="10" width="12.77734375" style="65" bestFit="1" customWidth="1"/>
    <col min="11" max="11" width="14.21875" style="65" bestFit="1" customWidth="1"/>
    <col min="12" max="18" width="12.77734375" style="65" bestFit="1" customWidth="1"/>
    <col min="19" max="20" width="11.21875" style="65" bestFit="1" customWidth="1"/>
    <col min="21" max="16384" width="8.77734375" style="65"/>
  </cols>
  <sheetData>
    <row r="1" spans="2:9" ht="9.9" customHeight="1" thickBot="1"/>
    <row r="2" spans="2:9">
      <c r="B2" s="115" t="s">
        <v>323</v>
      </c>
      <c r="C2" s="104"/>
      <c r="D2" s="104"/>
      <c r="E2" s="105"/>
    </row>
    <row r="3" spans="2:9" ht="15.6">
      <c r="B3" s="116" t="s">
        <v>118</v>
      </c>
      <c r="C3" s="117" t="s">
        <v>120</v>
      </c>
      <c r="D3" s="118" t="s">
        <v>122</v>
      </c>
      <c r="E3" s="80"/>
      <c r="I3" s="119"/>
    </row>
    <row r="4" spans="2:9" ht="15.6">
      <c r="B4" s="120">
        <v>1</v>
      </c>
      <c r="C4" s="121" t="s">
        <v>325</v>
      </c>
      <c r="D4" s="122">
        <v>5000000</v>
      </c>
      <c r="E4" s="80"/>
      <c r="F4" s="79"/>
      <c r="G4" s="79"/>
      <c r="H4" s="79"/>
      <c r="I4" s="109"/>
    </row>
    <row r="5" spans="2:9" ht="15.6">
      <c r="B5" s="120">
        <v>2</v>
      </c>
      <c r="C5" s="121" t="s">
        <v>1016</v>
      </c>
      <c r="D5" s="123">
        <v>9.5000000000000001E-2</v>
      </c>
      <c r="E5" s="80"/>
      <c r="I5" s="109"/>
    </row>
    <row r="6" spans="2:9" ht="15.6">
      <c r="B6" s="120">
        <v>3</v>
      </c>
      <c r="C6" s="121" t="s">
        <v>1032</v>
      </c>
      <c r="D6" s="124">
        <v>240</v>
      </c>
      <c r="E6" s="80"/>
      <c r="I6" s="125"/>
    </row>
    <row r="7" spans="2:9" ht="15.6">
      <c r="B7" s="120">
        <v>4</v>
      </c>
      <c r="C7" s="121" t="s">
        <v>1017</v>
      </c>
      <c r="D7" s="126">
        <f>PMT(D5/12,D6,-D4)</f>
        <v>46606.55939167591</v>
      </c>
      <c r="E7" s="80"/>
      <c r="F7" s="127"/>
      <c r="I7" s="109"/>
    </row>
    <row r="8" spans="2:9">
      <c r="B8" s="128"/>
      <c r="E8" s="80"/>
    </row>
    <row r="9" spans="2:9" ht="15" thickBot="1">
      <c r="B9" s="129"/>
      <c r="C9" s="102"/>
      <c r="D9" s="102"/>
      <c r="E9" s="103"/>
    </row>
    <row r="10" spans="2:9" ht="15.6">
      <c r="B10" s="66" t="s">
        <v>401</v>
      </c>
      <c r="C10" s="130" t="s">
        <v>400</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566AF-04F0-4784-9772-25B18A31DF0A}">
  <sheetPr codeName="Sheet30"/>
  <dimension ref="A1:O38"/>
  <sheetViews>
    <sheetView showOutlineSymbols="0" showWhiteSpace="0" workbookViewId="0"/>
  </sheetViews>
  <sheetFormatPr defaultRowHeight="14.4"/>
  <cols>
    <col min="1" max="1" width="28.88671875" customWidth="1"/>
    <col min="2" max="2" width="9.21875" bestFit="1" customWidth="1"/>
    <col min="3" max="3" width="9.21875" customWidth="1"/>
    <col min="4" max="5" width="9.6640625" bestFit="1" customWidth="1"/>
    <col min="10" max="10" width="14.77734375" bestFit="1" customWidth="1"/>
    <col min="15" max="15" width="15.21875" bestFit="1" customWidth="1"/>
  </cols>
  <sheetData>
    <row r="1" spans="1:15">
      <c r="A1" s="58" t="s">
        <v>446</v>
      </c>
      <c r="B1" s="55"/>
      <c r="C1" s="55"/>
    </row>
    <row r="3" spans="1:15">
      <c r="A3" s="16" t="s">
        <v>447</v>
      </c>
      <c r="B3" s="16"/>
      <c r="C3" s="22">
        <v>458</v>
      </c>
      <c r="D3" s="16" t="s">
        <v>449</v>
      </c>
    </row>
    <row r="4" spans="1:15">
      <c r="A4" s="16" t="s">
        <v>448</v>
      </c>
      <c r="B4" s="16"/>
      <c r="C4" s="16">
        <v>3.9999999999999996</v>
      </c>
      <c r="D4" s="16" t="s">
        <v>449</v>
      </c>
    </row>
    <row r="5" spans="1:15">
      <c r="A5" s="57" t="s">
        <v>450</v>
      </c>
      <c r="B5" s="57"/>
      <c r="C5" s="59">
        <f>C3*C4</f>
        <v>1831.9999999999998</v>
      </c>
      <c r="D5" s="16"/>
    </row>
    <row r="6" spans="1:15">
      <c r="A6" s="16"/>
      <c r="B6" s="16"/>
      <c r="C6" s="16"/>
      <c r="D6" s="16"/>
    </row>
    <row r="7" spans="1:15">
      <c r="A7" s="16"/>
      <c r="B7" s="16"/>
      <c r="C7" s="16"/>
      <c r="D7" s="16"/>
    </row>
    <row r="8" spans="1:15">
      <c r="A8" s="16" t="s">
        <v>451</v>
      </c>
      <c r="B8" s="16"/>
      <c r="C8" s="16">
        <v>1.5</v>
      </c>
      <c r="D8" s="16" t="s">
        <v>449</v>
      </c>
    </row>
    <row r="9" spans="1:15">
      <c r="A9" s="57" t="s">
        <v>452</v>
      </c>
      <c r="B9" s="57"/>
      <c r="C9" s="57">
        <f>C3*C8</f>
        <v>687</v>
      </c>
      <c r="D9" s="16"/>
      <c r="J9" s="49"/>
      <c r="K9" s="35"/>
    </row>
    <row r="10" spans="1:15">
      <c r="A10" s="16"/>
      <c r="B10" s="16"/>
      <c r="C10" s="16"/>
      <c r="D10" s="16"/>
      <c r="J10" s="49"/>
      <c r="K10" s="35"/>
    </row>
    <row r="11" spans="1:15">
      <c r="A11" s="57" t="s">
        <v>572</v>
      </c>
      <c r="B11" s="57"/>
      <c r="C11" s="60">
        <f>C5-C9</f>
        <v>1144.9999999999998</v>
      </c>
      <c r="D11" s="16"/>
      <c r="J11" s="49"/>
      <c r="O11" s="49"/>
    </row>
    <row r="13" spans="1:15">
      <c r="A13" t="s">
        <v>453</v>
      </c>
    </row>
    <row r="15" spans="1:15">
      <c r="A15" s="38" t="s">
        <v>454</v>
      </c>
    </row>
    <row r="16" spans="1:15">
      <c r="A16" t="s">
        <v>455</v>
      </c>
    </row>
    <row r="17" spans="1:5">
      <c r="A17" t="s">
        <v>456</v>
      </c>
    </row>
    <row r="18" spans="1:5">
      <c r="A18" t="s">
        <v>457</v>
      </c>
    </row>
    <row r="20" spans="1:5">
      <c r="A20" s="38" t="s">
        <v>458</v>
      </c>
    </row>
    <row r="22" spans="1:5">
      <c r="A22" s="56" t="s">
        <v>459</v>
      </c>
      <c r="B22" s="56" t="s">
        <v>460</v>
      </c>
      <c r="C22" s="56" t="s">
        <v>461</v>
      </c>
      <c r="D22" s="56" t="s">
        <v>462</v>
      </c>
      <c r="E22" s="56" t="s">
        <v>463</v>
      </c>
    </row>
    <row r="23" spans="1:5">
      <c r="A23" s="16" t="s">
        <v>464</v>
      </c>
      <c r="B23" s="16">
        <v>4200</v>
      </c>
      <c r="C23" s="16">
        <v>2000</v>
      </c>
      <c r="D23" s="16">
        <v>200</v>
      </c>
      <c r="E23" s="16">
        <f>B23+C23+D23</f>
        <v>6400</v>
      </c>
    </row>
    <row r="24" spans="1:5">
      <c r="A24" s="16" t="s">
        <v>465</v>
      </c>
      <c r="B24" s="16">
        <v>5300</v>
      </c>
      <c r="C24" s="16">
        <v>2000</v>
      </c>
      <c r="D24" s="16">
        <v>600</v>
      </c>
      <c r="E24" s="16">
        <f t="shared" ref="E24:E31" si="0">B24+C24+D24</f>
        <v>7900</v>
      </c>
    </row>
    <row r="25" spans="1:5">
      <c r="A25" s="16" t="s">
        <v>466</v>
      </c>
      <c r="B25" s="16">
        <v>3200</v>
      </c>
      <c r="C25" s="16">
        <v>2000</v>
      </c>
      <c r="D25" s="16">
        <v>800</v>
      </c>
      <c r="E25" s="16">
        <f t="shared" si="0"/>
        <v>6000</v>
      </c>
    </row>
    <row r="26" spans="1:5">
      <c r="A26" s="16" t="s">
        <v>467</v>
      </c>
      <c r="B26" s="16">
        <v>4000</v>
      </c>
      <c r="C26" s="16">
        <v>2000</v>
      </c>
      <c r="D26" s="16">
        <v>500</v>
      </c>
      <c r="E26" s="16">
        <f t="shared" si="0"/>
        <v>6500</v>
      </c>
    </row>
    <row r="27" spans="1:5">
      <c r="A27" s="16" t="s">
        <v>468</v>
      </c>
      <c r="B27" s="16">
        <v>1000</v>
      </c>
      <c r="C27" s="16">
        <v>2000</v>
      </c>
      <c r="D27" s="16">
        <v>400</v>
      </c>
      <c r="E27" s="16">
        <f t="shared" si="0"/>
        <v>3400</v>
      </c>
    </row>
    <row r="28" spans="1:5">
      <c r="A28" s="16" t="s">
        <v>469</v>
      </c>
      <c r="B28" s="16">
        <v>900</v>
      </c>
      <c r="C28" s="16">
        <v>2000</v>
      </c>
      <c r="D28" s="16">
        <v>300</v>
      </c>
      <c r="E28" s="16">
        <f t="shared" si="0"/>
        <v>3200</v>
      </c>
    </row>
    <row r="29" spans="1:5">
      <c r="A29" s="16" t="s">
        <v>470</v>
      </c>
      <c r="B29" s="16">
        <v>6500</v>
      </c>
      <c r="C29" s="16">
        <v>2000</v>
      </c>
      <c r="D29" s="16">
        <v>200</v>
      </c>
      <c r="E29" s="16">
        <f t="shared" si="0"/>
        <v>8700</v>
      </c>
    </row>
    <row r="30" spans="1:5">
      <c r="A30" s="16" t="s">
        <v>471</v>
      </c>
      <c r="B30" s="16">
        <v>7000</v>
      </c>
      <c r="C30" s="16">
        <v>2000</v>
      </c>
      <c r="D30" s="16">
        <v>600</v>
      </c>
      <c r="E30" s="16">
        <f t="shared" si="0"/>
        <v>9600</v>
      </c>
    </row>
    <row r="31" spans="1:5">
      <c r="A31" s="16" t="s">
        <v>472</v>
      </c>
      <c r="B31" s="16">
        <v>6200</v>
      </c>
      <c r="C31" s="16">
        <v>2000</v>
      </c>
      <c r="D31" s="16">
        <v>800</v>
      </c>
      <c r="E31" s="16">
        <f t="shared" si="0"/>
        <v>9000</v>
      </c>
    </row>
    <row r="32" spans="1:5">
      <c r="A32" s="16"/>
      <c r="B32" s="16"/>
      <c r="C32" s="336" t="s">
        <v>473</v>
      </c>
      <c r="D32" s="337"/>
      <c r="E32" s="57">
        <f>SUM(E23:E31)</f>
        <v>60700</v>
      </c>
    </row>
    <row r="33" spans="1:5" ht="15" thickBot="1"/>
    <row r="34" spans="1:5" ht="15" thickBot="1">
      <c r="A34" s="63" t="s">
        <v>474</v>
      </c>
      <c r="B34" s="61"/>
      <c r="C34" s="61"/>
      <c r="D34" s="61"/>
      <c r="E34" s="62"/>
    </row>
    <row r="35" spans="1:5">
      <c r="A35" s="30" t="s">
        <v>475</v>
      </c>
      <c r="E35" s="31">
        <v>65000</v>
      </c>
    </row>
    <row r="36" spans="1:5">
      <c r="A36" s="30" t="s">
        <v>476</v>
      </c>
      <c r="E36" s="31">
        <v>1000</v>
      </c>
    </row>
    <row r="37" spans="1:5">
      <c r="A37" s="30" t="s">
        <v>477</v>
      </c>
      <c r="E37" s="31">
        <v>2000</v>
      </c>
    </row>
    <row r="38" spans="1:5" ht="15" thickBot="1">
      <c r="A38" s="32" t="s">
        <v>478</v>
      </c>
      <c r="B38" s="33"/>
      <c r="C38" s="33"/>
      <c r="D38" s="33"/>
      <c r="E38" s="34">
        <v>9600</v>
      </c>
    </row>
  </sheetData>
  <scenarios current="0">
    <scenario name="Maximise Profits" count="3" user="Taranvir Ugal" comment="Created by Taranvir Ugal on 6/10/2021">
      <inputCells r="C3" val="800" numFmtId="164"/>
      <inputCells r="C4" val="4"/>
      <inputCells r="C8" val="1.5"/>
    </scenario>
    <scenario name="Max Profits sample" count="3" user="Taranvir Ugal" comment="Created by Taranvir Ugal on 6/10/2021">
      <inputCells r="C3" val="800" numFmtId="164"/>
      <inputCells r="C4" val="4"/>
      <inputCells r="C8" val="1.5"/>
    </scenario>
    <scenario name="cvxcv" count="3" user="Taranvir Ugal" comment="Created by Taranvir Ugal on 6/10/2021">
      <inputCells r="C3" val="1680" numFmtId="164"/>
      <inputCells r="C4" val="4"/>
      <inputCells r="C8" val="1.5"/>
    </scenario>
    <scenario name="asdgfasldjfio" count="3" user="Taranvir Ugal" comment="Created by Taranvir Ugal on 6/10/2021">
      <inputCells r="C3" val="1680" numFmtId="164"/>
      <inputCells r="C4" val="4"/>
      <inputCells r="C8" val="1.5"/>
    </scenario>
  </scenarios>
  <mergeCells count="1">
    <mergeCell ref="C32:D32"/>
  </mergeCells>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85BDB-AB89-4A9D-B327-129A0F30BFF6}">
  <dimension ref="B1:B2"/>
  <sheetViews>
    <sheetView showOutlineSymbols="0" showWhiteSpace="0" workbookViewId="0"/>
  </sheetViews>
  <sheetFormatPr defaultColWidth="8.77734375" defaultRowHeight="14.4"/>
  <cols>
    <col min="1" max="1" width="1.77734375" style="65" customWidth="1"/>
    <col min="2" max="2" width="186.44140625" style="65" customWidth="1"/>
    <col min="3" max="16384" width="8.77734375" style="65"/>
  </cols>
  <sheetData>
    <row r="1" spans="2:2" ht="10.65" customHeight="1" thickBot="1"/>
    <row r="2" spans="2:2" ht="21.6" thickBot="1">
      <c r="B2" s="114" t="s">
        <v>865</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CD8AA-CE9E-4945-8300-EAB4E51BD9AC}">
  <sheetPr>
    <tabColor rgb="FFFFC000"/>
    <pageSetUpPr fitToPage="1"/>
  </sheetPr>
  <dimension ref="B1:W215"/>
  <sheetViews>
    <sheetView showOutlineSymbols="0" showWhiteSpace="0" workbookViewId="0"/>
  </sheetViews>
  <sheetFormatPr defaultColWidth="8.77734375" defaultRowHeight="13.2"/>
  <cols>
    <col min="1" max="1" width="1.5546875" style="176" customWidth="1"/>
    <col min="2" max="2" width="7.44140625" style="176" bestFit="1" customWidth="1"/>
    <col min="3" max="3" width="6.21875" style="176" customWidth="1"/>
    <col min="4" max="4" width="15.6640625" style="176" customWidth="1"/>
    <col min="5" max="5" width="10.21875" style="176" customWidth="1"/>
    <col min="6" max="6" width="7" style="176" customWidth="1"/>
    <col min="7" max="7" width="8.88671875" style="176" customWidth="1"/>
    <col min="8" max="8" width="11.109375" style="176" customWidth="1"/>
    <col min="9" max="9" width="14" style="176" bestFit="1" customWidth="1"/>
    <col min="10" max="10" width="2.44140625" style="176" customWidth="1"/>
    <col min="11" max="11" width="16.5546875" style="176" bestFit="1" customWidth="1"/>
    <col min="12" max="12" width="14" style="176" bestFit="1" customWidth="1"/>
    <col min="13" max="13" width="11.44140625" style="176" bestFit="1" customWidth="1"/>
    <col min="14" max="14" width="15.21875" style="176" bestFit="1" customWidth="1"/>
    <col min="15" max="15" width="12.21875" style="176" customWidth="1"/>
    <col min="16" max="16" width="15.44140625" style="176" customWidth="1"/>
    <col min="17" max="17" width="8.77734375" style="176" customWidth="1"/>
    <col min="18" max="20" width="10.44140625" style="176" customWidth="1"/>
    <col min="21" max="16384" width="8.77734375" style="176"/>
  </cols>
  <sheetData>
    <row r="1" spans="2:23" s="163" customFormat="1" ht="13.8" thickBot="1">
      <c r="G1" s="164"/>
    </row>
    <row r="2" spans="2:23" s="168" customFormat="1" ht="53.1" customHeight="1" thickBot="1">
      <c r="B2" s="165" t="s">
        <v>866</v>
      </c>
      <c r="C2" s="166" t="s">
        <v>867</v>
      </c>
      <c r="D2" s="166" t="s">
        <v>244</v>
      </c>
      <c r="E2" s="166" t="s">
        <v>868</v>
      </c>
      <c r="F2" s="166" t="s">
        <v>869</v>
      </c>
      <c r="G2" s="166" t="s">
        <v>1033</v>
      </c>
      <c r="H2" s="166" t="s">
        <v>1034</v>
      </c>
      <c r="I2" s="167" t="s">
        <v>870</v>
      </c>
      <c r="K2" s="169" t="s">
        <v>868</v>
      </c>
      <c r="L2" s="170" t="s">
        <v>871</v>
      </c>
      <c r="M2" s="171" t="s">
        <v>872</v>
      </c>
    </row>
    <row r="3" spans="2:23" ht="15.6" thickTop="1" thickBot="1">
      <c r="B3" s="172">
        <v>311587</v>
      </c>
      <c r="C3" s="173">
        <v>100</v>
      </c>
      <c r="D3" s="172" t="s">
        <v>873</v>
      </c>
      <c r="E3" s="172" t="s">
        <v>874</v>
      </c>
      <c r="F3" s="172" t="s">
        <v>875</v>
      </c>
      <c r="G3" s="174">
        <v>2</v>
      </c>
      <c r="H3" s="175">
        <v>40528</v>
      </c>
      <c r="I3" s="172" t="s">
        <v>876</v>
      </c>
      <c r="K3" s="177" t="s">
        <v>874</v>
      </c>
      <c r="M3" s="178"/>
      <c r="T3" s="338" t="s">
        <v>877</v>
      </c>
      <c r="U3" s="338"/>
    </row>
    <row r="4" spans="2:23" ht="15.6" thickTop="1" thickBot="1">
      <c r="B4" s="179">
        <v>645109</v>
      </c>
      <c r="C4" s="180">
        <v>125</v>
      </c>
      <c r="D4" s="179" t="s">
        <v>878</v>
      </c>
      <c r="E4" s="179" t="s">
        <v>879</v>
      </c>
      <c r="F4" s="179" t="s">
        <v>875</v>
      </c>
      <c r="G4" s="181">
        <v>8</v>
      </c>
      <c r="H4" s="182">
        <v>40527</v>
      </c>
      <c r="I4" s="179" t="s">
        <v>880</v>
      </c>
      <c r="K4" s="177" t="s">
        <v>879</v>
      </c>
      <c r="M4" s="178"/>
    </row>
    <row r="5" spans="2:23" ht="15.6" thickTop="1" thickBot="1">
      <c r="B5" s="179">
        <v>645109</v>
      </c>
      <c r="C5" s="180">
        <v>150</v>
      </c>
      <c r="D5" s="179" t="s">
        <v>878</v>
      </c>
      <c r="E5" s="179" t="s">
        <v>879</v>
      </c>
      <c r="F5" s="179" t="s">
        <v>875</v>
      </c>
      <c r="G5" s="181">
        <v>8</v>
      </c>
      <c r="H5" s="182">
        <v>40528</v>
      </c>
      <c r="I5" s="179" t="s">
        <v>876</v>
      </c>
      <c r="K5" s="177" t="s">
        <v>881</v>
      </c>
      <c r="M5" s="178"/>
    </row>
    <row r="6" spans="2:23" ht="15.6" thickTop="1" thickBot="1">
      <c r="B6" s="179">
        <v>835119</v>
      </c>
      <c r="C6" s="180">
        <v>175</v>
      </c>
      <c r="D6" s="179" t="s">
        <v>882</v>
      </c>
      <c r="E6" s="179" t="s">
        <v>881</v>
      </c>
      <c r="F6" s="179" t="s">
        <v>875</v>
      </c>
      <c r="G6" s="181">
        <v>5</v>
      </c>
      <c r="H6" s="182">
        <v>40527</v>
      </c>
      <c r="I6" s="179" t="s">
        <v>880</v>
      </c>
      <c r="K6" s="177" t="s">
        <v>883</v>
      </c>
      <c r="M6" s="178"/>
    </row>
    <row r="7" spans="2:23" ht="15.6" thickTop="1" thickBot="1">
      <c r="B7" s="179">
        <v>921565</v>
      </c>
      <c r="C7" s="180">
        <v>200</v>
      </c>
      <c r="D7" s="179" t="s">
        <v>882</v>
      </c>
      <c r="E7" s="179" t="s">
        <v>883</v>
      </c>
      <c r="F7" s="179" t="s">
        <v>875</v>
      </c>
      <c r="G7" s="181">
        <v>8</v>
      </c>
      <c r="H7" s="182">
        <v>40528</v>
      </c>
      <c r="I7" s="179" t="s">
        <v>876</v>
      </c>
      <c r="K7" s="183" t="s">
        <v>884</v>
      </c>
      <c r="M7" s="178"/>
      <c r="T7" s="338" t="s">
        <v>885</v>
      </c>
      <c r="U7" s="338"/>
      <c r="V7" s="338"/>
      <c r="W7" s="338"/>
    </row>
    <row r="8" spans="2:23" ht="13.8" thickBot="1">
      <c r="B8" s="179">
        <v>904174</v>
      </c>
      <c r="C8" s="180">
        <v>225</v>
      </c>
      <c r="D8" s="179" t="s">
        <v>886</v>
      </c>
      <c r="E8" s="179" t="s">
        <v>874</v>
      </c>
      <c r="F8" s="179" t="s">
        <v>875</v>
      </c>
      <c r="G8" s="181">
        <v>4</v>
      </c>
      <c r="H8" s="182">
        <v>40528</v>
      </c>
      <c r="I8" s="179" t="s">
        <v>876</v>
      </c>
      <c r="K8" s="184"/>
      <c r="L8" s="185">
        <f>SUM(L3:L7)</f>
        <v>0</v>
      </c>
      <c r="M8" s="186">
        <f>SUM(M3:M7)</f>
        <v>0</v>
      </c>
    </row>
    <row r="9" spans="2:23">
      <c r="B9" s="179">
        <v>108501</v>
      </c>
      <c r="C9" s="180">
        <v>250</v>
      </c>
      <c r="D9" s="179" t="s">
        <v>887</v>
      </c>
      <c r="E9" s="179" t="s">
        <v>881</v>
      </c>
      <c r="F9" s="179" t="s">
        <v>875</v>
      </c>
      <c r="G9" s="181">
        <v>3.5</v>
      </c>
      <c r="H9" s="182">
        <v>40527</v>
      </c>
      <c r="I9" s="179" t="s">
        <v>880</v>
      </c>
    </row>
    <row r="10" spans="2:23" ht="13.8" thickBot="1">
      <c r="B10" s="179">
        <v>806984</v>
      </c>
      <c r="C10" s="180">
        <v>275</v>
      </c>
      <c r="D10" s="179" t="s">
        <v>888</v>
      </c>
      <c r="E10" s="179" t="s">
        <v>884</v>
      </c>
      <c r="F10" s="179" t="s">
        <v>875</v>
      </c>
      <c r="G10" s="181">
        <v>8</v>
      </c>
      <c r="H10" s="182">
        <v>40528</v>
      </c>
      <c r="I10" s="179" t="s">
        <v>876</v>
      </c>
    </row>
    <row r="11" spans="2:23" ht="13.8" thickBot="1">
      <c r="B11" s="179">
        <v>605544</v>
      </c>
      <c r="C11" s="180">
        <v>300</v>
      </c>
      <c r="D11" s="179" t="s">
        <v>889</v>
      </c>
      <c r="E11" s="179" t="s">
        <v>879</v>
      </c>
      <c r="F11" s="179" t="s">
        <v>875</v>
      </c>
      <c r="G11" s="181">
        <v>8</v>
      </c>
      <c r="H11" s="182">
        <v>40527</v>
      </c>
      <c r="I11" s="179" t="s">
        <v>880</v>
      </c>
      <c r="K11" s="187" t="s">
        <v>870</v>
      </c>
      <c r="L11" s="188" t="s">
        <v>871</v>
      </c>
      <c r="M11" s="189" t="s">
        <v>872</v>
      </c>
    </row>
    <row r="12" spans="2:23" ht="15.6" thickTop="1" thickBot="1">
      <c r="B12" s="179">
        <v>261528</v>
      </c>
      <c r="C12" s="180">
        <v>325</v>
      </c>
      <c r="D12" s="179" t="s">
        <v>890</v>
      </c>
      <c r="E12" s="179" t="s">
        <v>884</v>
      </c>
      <c r="F12" s="179" t="s">
        <v>875</v>
      </c>
      <c r="G12" s="181">
        <v>8</v>
      </c>
      <c r="H12" s="182">
        <v>40527</v>
      </c>
      <c r="I12" s="179" t="s">
        <v>880</v>
      </c>
      <c r="K12" s="177" t="s">
        <v>891</v>
      </c>
      <c r="L12" s="163"/>
      <c r="M12" s="178"/>
      <c r="N12" s="190"/>
      <c r="T12" s="191" t="s">
        <v>892</v>
      </c>
    </row>
    <row r="13" spans="2:23" ht="15.6" thickTop="1" thickBot="1">
      <c r="B13" s="179">
        <v>261528</v>
      </c>
      <c r="C13" s="180">
        <v>350</v>
      </c>
      <c r="D13" s="179" t="s">
        <v>890</v>
      </c>
      <c r="E13" s="179" t="s">
        <v>884</v>
      </c>
      <c r="F13" s="179" t="s">
        <v>875</v>
      </c>
      <c r="G13" s="181">
        <v>8</v>
      </c>
      <c r="H13" s="182">
        <v>40528</v>
      </c>
      <c r="I13" s="179" t="s">
        <v>876</v>
      </c>
      <c r="K13" s="177" t="s">
        <v>893</v>
      </c>
      <c r="L13" s="163"/>
      <c r="M13" s="178"/>
      <c r="N13" s="190"/>
    </row>
    <row r="14" spans="2:23" ht="15.6" thickTop="1" thickBot="1">
      <c r="B14" s="179">
        <v>682726</v>
      </c>
      <c r="C14" s="180">
        <v>375</v>
      </c>
      <c r="D14" s="179" t="s">
        <v>894</v>
      </c>
      <c r="E14" s="179" t="s">
        <v>874</v>
      </c>
      <c r="F14" s="179" t="s">
        <v>875</v>
      </c>
      <c r="G14" s="181">
        <v>1</v>
      </c>
      <c r="H14" s="182">
        <v>40527</v>
      </c>
      <c r="I14" s="179" t="s">
        <v>880</v>
      </c>
      <c r="K14" s="177" t="s">
        <v>880</v>
      </c>
      <c r="L14" s="163"/>
      <c r="M14" s="178"/>
      <c r="N14" s="190"/>
    </row>
    <row r="15" spans="2:23" ht="15.6" thickTop="1" thickBot="1">
      <c r="B15" s="179">
        <v>682726</v>
      </c>
      <c r="C15" s="180">
        <v>400</v>
      </c>
      <c r="D15" s="179" t="s">
        <v>894</v>
      </c>
      <c r="E15" s="179" t="s">
        <v>874</v>
      </c>
      <c r="F15" s="179" t="s">
        <v>875</v>
      </c>
      <c r="G15" s="181">
        <v>1.5</v>
      </c>
      <c r="H15" s="182">
        <v>40528</v>
      </c>
      <c r="I15" s="179" t="s">
        <v>876</v>
      </c>
      <c r="K15" s="177" t="s">
        <v>876</v>
      </c>
      <c r="L15" s="163"/>
      <c r="M15" s="178"/>
      <c r="N15" s="190"/>
    </row>
    <row r="16" spans="2:23" ht="15.6" thickTop="1" thickBot="1">
      <c r="B16" s="179">
        <v>268234</v>
      </c>
      <c r="C16" s="180">
        <v>425</v>
      </c>
      <c r="D16" s="179" t="s">
        <v>895</v>
      </c>
      <c r="E16" s="179" t="s">
        <v>874</v>
      </c>
      <c r="F16" s="179" t="s">
        <v>875</v>
      </c>
      <c r="G16" s="181">
        <v>1.5</v>
      </c>
      <c r="H16" s="182">
        <v>40527</v>
      </c>
      <c r="I16" s="179" t="s">
        <v>880</v>
      </c>
      <c r="K16" s="183" t="s">
        <v>896</v>
      </c>
      <c r="L16" s="192"/>
      <c r="M16" s="193"/>
      <c r="N16" s="190"/>
      <c r="T16" s="191" t="s">
        <v>897</v>
      </c>
    </row>
    <row r="17" spans="2:20" ht="13.8" thickBot="1">
      <c r="B17" s="179">
        <v>537900</v>
      </c>
      <c r="C17" s="180">
        <v>450</v>
      </c>
      <c r="D17" s="179" t="s">
        <v>898</v>
      </c>
      <c r="E17" s="179" t="s">
        <v>874</v>
      </c>
      <c r="F17" s="179" t="s">
        <v>875</v>
      </c>
      <c r="G17" s="181">
        <v>2</v>
      </c>
      <c r="H17" s="182">
        <v>40527</v>
      </c>
      <c r="I17" s="179" t="s">
        <v>880</v>
      </c>
      <c r="K17" s="194"/>
      <c r="L17" s="192">
        <f>SUM(L12:L16)</f>
        <v>0</v>
      </c>
      <c r="M17" s="195">
        <f t="shared" ref="M17" si="0">SUM(M12:M16)</f>
        <v>0</v>
      </c>
    </row>
    <row r="18" spans="2:20">
      <c r="B18" s="179">
        <v>935382</v>
      </c>
      <c r="C18" s="180">
        <v>475</v>
      </c>
      <c r="D18" s="179" t="s">
        <v>899</v>
      </c>
      <c r="E18" s="179" t="s">
        <v>874</v>
      </c>
      <c r="F18" s="179" t="s">
        <v>875</v>
      </c>
      <c r="G18" s="181">
        <v>3.5</v>
      </c>
      <c r="H18" s="182">
        <v>40527</v>
      </c>
      <c r="I18" s="179" t="s">
        <v>880</v>
      </c>
    </row>
    <row r="19" spans="2:20">
      <c r="B19" s="179">
        <v>602526</v>
      </c>
      <c r="C19" s="180">
        <v>500</v>
      </c>
      <c r="D19" s="179" t="s">
        <v>900</v>
      </c>
      <c r="E19" s="179" t="s">
        <v>874</v>
      </c>
      <c r="F19" s="179" t="s">
        <v>875</v>
      </c>
      <c r="G19" s="181">
        <v>2</v>
      </c>
      <c r="H19" s="182">
        <v>40527</v>
      </c>
      <c r="I19" s="179" t="s">
        <v>880</v>
      </c>
      <c r="K19" s="196" t="s">
        <v>901</v>
      </c>
      <c r="L19" s="196"/>
    </row>
    <row r="20" spans="2:20" ht="13.8" thickBot="1">
      <c r="B20" s="179">
        <v>624084</v>
      </c>
      <c r="C20" s="180">
        <v>525</v>
      </c>
      <c r="D20" s="179" t="s">
        <v>902</v>
      </c>
      <c r="E20" s="179" t="s">
        <v>874</v>
      </c>
      <c r="F20" s="179" t="s">
        <v>875</v>
      </c>
      <c r="G20" s="181">
        <v>1.25</v>
      </c>
      <c r="H20" s="182">
        <v>40528</v>
      </c>
      <c r="I20" s="179" t="s">
        <v>876</v>
      </c>
    </row>
    <row r="21" spans="2:20" ht="14.4" thickTop="1" thickBot="1">
      <c r="B21" s="179">
        <v>341458</v>
      </c>
      <c r="C21" s="180">
        <v>550</v>
      </c>
      <c r="D21" s="179" t="s">
        <v>903</v>
      </c>
      <c r="E21" s="179" t="s">
        <v>884</v>
      </c>
      <c r="F21" s="179" t="s">
        <v>875</v>
      </c>
      <c r="G21" s="181">
        <v>8</v>
      </c>
      <c r="H21" s="182">
        <v>40528</v>
      </c>
      <c r="I21" s="179" t="s">
        <v>876</v>
      </c>
      <c r="L21" s="197" t="s">
        <v>904</v>
      </c>
    </row>
    <row r="22" spans="2:20" ht="13.8" thickBot="1">
      <c r="B22" s="179">
        <v>674630</v>
      </c>
      <c r="C22" s="180">
        <v>575</v>
      </c>
      <c r="D22" s="179" t="s">
        <v>905</v>
      </c>
      <c r="E22" s="179" t="s">
        <v>874</v>
      </c>
      <c r="F22" s="179" t="s">
        <v>875</v>
      </c>
      <c r="G22" s="181">
        <v>2.75</v>
      </c>
      <c r="H22" s="182">
        <v>40528</v>
      </c>
      <c r="I22" s="179" t="s">
        <v>876</v>
      </c>
      <c r="K22" s="198"/>
      <c r="L22" s="199" t="s">
        <v>891</v>
      </c>
      <c r="M22" s="199" t="s">
        <v>893</v>
      </c>
      <c r="N22" s="199" t="s">
        <v>880</v>
      </c>
      <c r="O22" s="199" t="s">
        <v>876</v>
      </c>
      <c r="P22" s="199" t="s">
        <v>896</v>
      </c>
      <c r="Q22" s="200" t="s">
        <v>906</v>
      </c>
    </row>
    <row r="23" spans="2:20" ht="14.4" thickTop="1" thickBot="1">
      <c r="B23" s="179">
        <v>674630</v>
      </c>
      <c r="C23" s="180">
        <v>600</v>
      </c>
      <c r="D23" s="179" t="s">
        <v>905</v>
      </c>
      <c r="E23" s="179" t="s">
        <v>881</v>
      </c>
      <c r="F23" s="179" t="s">
        <v>875</v>
      </c>
      <c r="G23" s="181">
        <v>1</v>
      </c>
      <c r="H23" s="182">
        <v>40528</v>
      </c>
      <c r="I23" s="179" t="s">
        <v>876</v>
      </c>
      <c r="K23" s="201" t="s">
        <v>874</v>
      </c>
      <c r="Q23" s="202">
        <f t="shared" ref="Q23:Q28" si="1">SUM(L23:P23)</f>
        <v>0</v>
      </c>
    </row>
    <row r="24" spans="2:20" ht="14.4" thickTop="1" thickBot="1">
      <c r="B24" s="179">
        <v>752850</v>
      </c>
      <c r="C24" s="180">
        <v>625</v>
      </c>
      <c r="D24" s="179" t="s">
        <v>907</v>
      </c>
      <c r="E24" s="179" t="s">
        <v>881</v>
      </c>
      <c r="F24" s="179" t="s">
        <v>875</v>
      </c>
      <c r="G24" s="181">
        <v>1.25</v>
      </c>
      <c r="H24" s="182">
        <v>40527</v>
      </c>
      <c r="I24" s="179" t="s">
        <v>880</v>
      </c>
      <c r="K24" s="201" t="s">
        <v>879</v>
      </c>
      <c r="Q24" s="203">
        <f t="shared" si="1"/>
        <v>0</v>
      </c>
      <c r="T24" s="191" t="s">
        <v>908</v>
      </c>
    </row>
    <row r="25" spans="2:20" ht="14.4" thickTop="1" thickBot="1">
      <c r="B25" s="179">
        <v>951321</v>
      </c>
      <c r="C25" s="180">
        <v>650</v>
      </c>
      <c r="D25" s="179" t="s">
        <v>909</v>
      </c>
      <c r="E25" s="179" t="s">
        <v>874</v>
      </c>
      <c r="F25" s="179" t="s">
        <v>875</v>
      </c>
      <c r="G25" s="181">
        <v>8.75</v>
      </c>
      <c r="H25" s="182">
        <v>40529</v>
      </c>
      <c r="I25" s="179" t="s">
        <v>896</v>
      </c>
      <c r="K25" s="201" t="s">
        <v>881</v>
      </c>
      <c r="Q25" s="203">
        <f t="shared" si="1"/>
        <v>0</v>
      </c>
    </row>
    <row r="26" spans="2:20" ht="14.4" thickTop="1" thickBot="1">
      <c r="B26" s="179">
        <v>311587</v>
      </c>
      <c r="C26" s="180">
        <v>675</v>
      </c>
      <c r="D26" s="179" t="s">
        <v>873</v>
      </c>
      <c r="E26" s="179" t="s">
        <v>883</v>
      </c>
      <c r="F26" s="179" t="s">
        <v>875</v>
      </c>
      <c r="G26" s="181">
        <v>4</v>
      </c>
      <c r="H26" s="182">
        <v>40529</v>
      </c>
      <c r="I26" s="179" t="s">
        <v>896</v>
      </c>
      <c r="K26" s="201" t="s">
        <v>883</v>
      </c>
      <c r="Q26" s="203">
        <f t="shared" si="1"/>
        <v>0</v>
      </c>
    </row>
    <row r="27" spans="2:20" ht="14.4" thickTop="1" thickBot="1">
      <c r="B27" s="179">
        <v>140990</v>
      </c>
      <c r="C27" s="180">
        <v>700</v>
      </c>
      <c r="D27" s="179" t="s">
        <v>910</v>
      </c>
      <c r="E27" s="179" t="s">
        <v>874</v>
      </c>
      <c r="F27" s="179" t="s">
        <v>875</v>
      </c>
      <c r="G27" s="181">
        <v>2</v>
      </c>
      <c r="H27" s="182">
        <v>40540</v>
      </c>
      <c r="I27" s="179" t="s">
        <v>893</v>
      </c>
      <c r="K27" s="201" t="s">
        <v>884</v>
      </c>
      <c r="Q27" s="203">
        <f t="shared" si="1"/>
        <v>0</v>
      </c>
    </row>
    <row r="28" spans="2:20" ht="13.8" thickBot="1">
      <c r="B28" s="179">
        <v>883669</v>
      </c>
      <c r="C28" s="180">
        <v>725</v>
      </c>
      <c r="D28" s="179" t="s">
        <v>911</v>
      </c>
      <c r="E28" s="179" t="s">
        <v>884</v>
      </c>
      <c r="F28" s="179" t="s">
        <v>875</v>
      </c>
      <c r="G28" s="181">
        <v>4.75</v>
      </c>
      <c r="H28" s="182">
        <v>40534</v>
      </c>
      <c r="I28" s="179" t="s">
        <v>880</v>
      </c>
      <c r="K28" s="204" t="s">
        <v>906</v>
      </c>
      <c r="L28" s="205">
        <f>SUM(L23:L27)</f>
        <v>0</v>
      </c>
      <c r="M28" s="206">
        <f>SUM(M23:M27)</f>
        <v>0</v>
      </c>
      <c r="N28" s="206">
        <f>SUM(N23:N27)</f>
        <v>0</v>
      </c>
      <c r="O28" s="206">
        <f>SUM(O23:O27)</f>
        <v>0</v>
      </c>
      <c r="P28" s="206">
        <f>SUM(P23:P27)</f>
        <v>0</v>
      </c>
      <c r="Q28" s="207">
        <f t="shared" si="1"/>
        <v>0</v>
      </c>
      <c r="T28" s="191" t="s">
        <v>912</v>
      </c>
    </row>
    <row r="29" spans="2:20">
      <c r="B29" s="179">
        <v>733760</v>
      </c>
      <c r="C29" s="180">
        <v>750</v>
      </c>
      <c r="D29" s="179" t="s">
        <v>913</v>
      </c>
      <c r="E29" s="179" t="s">
        <v>874</v>
      </c>
      <c r="F29" s="179" t="s">
        <v>875</v>
      </c>
      <c r="G29" s="181">
        <v>3.5</v>
      </c>
      <c r="H29" s="182">
        <v>40532</v>
      </c>
      <c r="I29" s="179" t="s">
        <v>891</v>
      </c>
    </row>
    <row r="30" spans="2:20">
      <c r="B30" s="179">
        <v>474941</v>
      </c>
      <c r="C30" s="180">
        <v>775</v>
      </c>
      <c r="D30" s="179" t="s">
        <v>914</v>
      </c>
      <c r="E30" s="179" t="s">
        <v>874</v>
      </c>
      <c r="F30" s="179" t="s">
        <v>875</v>
      </c>
      <c r="G30" s="181">
        <v>2.5</v>
      </c>
      <c r="H30" s="182">
        <v>40534</v>
      </c>
      <c r="I30" s="179" t="s">
        <v>880</v>
      </c>
    </row>
    <row r="31" spans="2:20">
      <c r="B31" s="179">
        <v>474941</v>
      </c>
      <c r="C31" s="180">
        <v>800</v>
      </c>
      <c r="D31" s="179" t="s">
        <v>914</v>
      </c>
      <c r="E31" s="179" t="s">
        <v>874</v>
      </c>
      <c r="F31" s="179" t="s">
        <v>875</v>
      </c>
      <c r="G31" s="181">
        <v>1.5</v>
      </c>
      <c r="H31" s="182">
        <v>40540</v>
      </c>
      <c r="I31" s="179" t="s">
        <v>893</v>
      </c>
    </row>
    <row r="32" spans="2:20">
      <c r="B32" s="179">
        <v>615307</v>
      </c>
      <c r="C32" s="180">
        <v>825</v>
      </c>
      <c r="D32" s="179" t="s">
        <v>915</v>
      </c>
      <c r="E32" s="179" t="s">
        <v>874</v>
      </c>
      <c r="F32" s="179" t="s">
        <v>875</v>
      </c>
      <c r="G32" s="181">
        <v>4</v>
      </c>
      <c r="H32" s="182">
        <v>40529</v>
      </c>
      <c r="I32" s="179" t="s">
        <v>896</v>
      </c>
      <c r="K32" s="196" t="s">
        <v>916</v>
      </c>
      <c r="L32" s="196"/>
    </row>
    <row r="33" spans="2:20" ht="13.8" thickBot="1">
      <c r="B33" s="179">
        <v>144775</v>
      </c>
      <c r="C33" s="180">
        <v>850</v>
      </c>
      <c r="D33" s="179" t="s">
        <v>917</v>
      </c>
      <c r="E33" s="179" t="s">
        <v>874</v>
      </c>
      <c r="F33" s="179" t="s">
        <v>875</v>
      </c>
      <c r="G33" s="181">
        <v>2</v>
      </c>
      <c r="H33" s="182">
        <v>40540</v>
      </c>
      <c r="I33" s="179" t="s">
        <v>893</v>
      </c>
    </row>
    <row r="34" spans="2:20" ht="14.4" thickTop="1" thickBot="1">
      <c r="B34" s="179">
        <v>54857</v>
      </c>
      <c r="C34" s="180">
        <v>875</v>
      </c>
      <c r="D34" s="179" t="s">
        <v>918</v>
      </c>
      <c r="E34" s="179" t="s">
        <v>874</v>
      </c>
      <c r="F34" s="179" t="s">
        <v>875</v>
      </c>
      <c r="G34" s="181">
        <v>1</v>
      </c>
      <c r="H34" s="182">
        <v>40533</v>
      </c>
      <c r="I34" s="179" t="s">
        <v>893</v>
      </c>
      <c r="L34" s="197" t="s">
        <v>919</v>
      </c>
    </row>
    <row r="35" spans="2:20" ht="13.8" thickBot="1">
      <c r="B35" s="179">
        <v>969490</v>
      </c>
      <c r="C35" s="180">
        <v>900</v>
      </c>
      <c r="D35" s="179" t="s">
        <v>920</v>
      </c>
      <c r="E35" s="179" t="s">
        <v>881</v>
      </c>
      <c r="F35" s="179" t="s">
        <v>875</v>
      </c>
      <c r="G35" s="181">
        <v>3</v>
      </c>
      <c r="H35" s="182">
        <v>40533</v>
      </c>
      <c r="I35" s="179" t="s">
        <v>893</v>
      </c>
      <c r="K35" s="198"/>
      <c r="L35" s="199" t="s">
        <v>891</v>
      </c>
      <c r="M35" s="199" t="s">
        <v>893</v>
      </c>
      <c r="N35" s="199" t="s">
        <v>880</v>
      </c>
      <c r="O35" s="199" t="s">
        <v>876</v>
      </c>
      <c r="P35" s="199" t="s">
        <v>896</v>
      </c>
      <c r="Q35" s="200" t="s">
        <v>906</v>
      </c>
    </row>
    <row r="36" spans="2:20" ht="15.6" thickTop="1" thickBot="1">
      <c r="B36" s="179">
        <v>969490</v>
      </c>
      <c r="C36" s="180">
        <v>925</v>
      </c>
      <c r="D36" s="179" t="s">
        <v>920</v>
      </c>
      <c r="E36" s="179" t="s">
        <v>884</v>
      </c>
      <c r="F36" s="179" t="s">
        <v>875</v>
      </c>
      <c r="G36" s="181">
        <v>8</v>
      </c>
      <c r="H36" s="182">
        <v>40534</v>
      </c>
      <c r="I36" s="179" t="s">
        <v>880</v>
      </c>
      <c r="K36" s="201" t="s">
        <v>874</v>
      </c>
      <c r="L36" s="208"/>
      <c r="M36" s="208"/>
      <c r="N36" s="208"/>
      <c r="O36" s="208"/>
      <c r="P36" s="208"/>
      <c r="Q36" s="209">
        <f t="shared" ref="Q36:Q41" si="2">SUM(L36:P36)</f>
        <v>0</v>
      </c>
      <c r="T36" s="191" t="s">
        <v>921</v>
      </c>
    </row>
    <row r="37" spans="2:20" ht="15.6" thickTop="1" thickBot="1">
      <c r="B37" s="179">
        <v>579919</v>
      </c>
      <c r="C37" s="180">
        <v>950</v>
      </c>
      <c r="D37" s="179" t="s">
        <v>922</v>
      </c>
      <c r="E37" s="179" t="s">
        <v>884</v>
      </c>
      <c r="F37" s="179" t="s">
        <v>875</v>
      </c>
      <c r="G37" s="181">
        <v>2</v>
      </c>
      <c r="H37" s="182">
        <v>40534</v>
      </c>
      <c r="I37" s="179" t="s">
        <v>880</v>
      </c>
      <c r="K37" s="201" t="s">
        <v>879</v>
      </c>
      <c r="L37" s="208"/>
      <c r="M37" s="208"/>
      <c r="N37" s="208"/>
      <c r="O37" s="208"/>
      <c r="P37" s="208"/>
      <c r="Q37" s="210">
        <f t="shared" si="2"/>
        <v>0</v>
      </c>
    </row>
    <row r="38" spans="2:20" ht="15.6" thickTop="1" thickBot="1">
      <c r="B38" s="179">
        <v>599675</v>
      </c>
      <c r="C38" s="180">
        <v>975</v>
      </c>
      <c r="D38" s="179" t="s">
        <v>923</v>
      </c>
      <c r="E38" s="179" t="s">
        <v>874</v>
      </c>
      <c r="F38" s="179" t="s">
        <v>875</v>
      </c>
      <c r="G38" s="181">
        <v>2</v>
      </c>
      <c r="H38" s="182">
        <v>40534</v>
      </c>
      <c r="I38" s="179" t="s">
        <v>880</v>
      </c>
      <c r="K38" s="201" t="s">
        <v>881</v>
      </c>
      <c r="L38" s="208"/>
      <c r="M38" s="208"/>
      <c r="N38" s="208"/>
      <c r="O38" s="208"/>
      <c r="P38" s="208"/>
      <c r="Q38" s="210">
        <f t="shared" si="2"/>
        <v>0</v>
      </c>
      <c r="T38" s="191"/>
    </row>
    <row r="39" spans="2:20" ht="15.6" thickTop="1" thickBot="1">
      <c r="B39" s="179">
        <v>625135</v>
      </c>
      <c r="C39" s="180">
        <v>1000</v>
      </c>
      <c r="D39" s="179" t="s">
        <v>924</v>
      </c>
      <c r="E39" s="179" t="s">
        <v>874</v>
      </c>
      <c r="F39" s="179" t="s">
        <v>875</v>
      </c>
      <c r="G39" s="181">
        <v>1</v>
      </c>
      <c r="H39" s="182">
        <v>40540</v>
      </c>
      <c r="I39" s="179" t="s">
        <v>893</v>
      </c>
      <c r="K39" s="201" t="s">
        <v>883</v>
      </c>
      <c r="L39" s="208"/>
      <c r="M39" s="208"/>
      <c r="N39" s="208"/>
      <c r="O39" s="208"/>
      <c r="P39" s="208"/>
      <c r="Q39" s="210">
        <f t="shared" si="2"/>
        <v>0</v>
      </c>
    </row>
    <row r="40" spans="2:20" ht="15.6" thickTop="1" thickBot="1">
      <c r="B40" s="179">
        <v>664825</v>
      </c>
      <c r="C40" s="180">
        <v>1025</v>
      </c>
      <c r="D40" s="179" t="s">
        <v>925</v>
      </c>
      <c r="E40" s="179" t="s">
        <v>884</v>
      </c>
      <c r="F40" s="179" t="s">
        <v>875</v>
      </c>
      <c r="G40" s="181">
        <v>8</v>
      </c>
      <c r="H40" s="182">
        <v>40542</v>
      </c>
      <c r="I40" s="179" t="s">
        <v>876</v>
      </c>
      <c r="K40" s="201" t="s">
        <v>884</v>
      </c>
      <c r="L40" s="208"/>
      <c r="M40" s="208"/>
      <c r="N40" s="208"/>
      <c r="O40" s="208"/>
      <c r="P40" s="208"/>
      <c r="Q40" s="210">
        <f t="shared" si="2"/>
        <v>0</v>
      </c>
      <c r="T40" s="191" t="s">
        <v>926</v>
      </c>
    </row>
    <row r="41" spans="2:20" ht="15" thickBot="1">
      <c r="B41" s="179">
        <v>664825</v>
      </c>
      <c r="C41" s="180">
        <v>1050</v>
      </c>
      <c r="D41" s="179" t="s">
        <v>925</v>
      </c>
      <c r="E41" s="179" t="s">
        <v>884</v>
      </c>
      <c r="F41" s="179" t="s">
        <v>875</v>
      </c>
      <c r="G41" s="181">
        <v>6</v>
      </c>
      <c r="H41" s="182">
        <v>40541</v>
      </c>
      <c r="I41" s="179" t="s">
        <v>880</v>
      </c>
      <c r="K41" s="204" t="s">
        <v>906</v>
      </c>
      <c r="L41" s="211">
        <f>SUM(L36:L40)</f>
        <v>0</v>
      </c>
      <c r="M41" s="212">
        <f>SUM(M36:M40)</f>
        <v>0</v>
      </c>
      <c r="N41" s="212">
        <f>SUM(N36:N40)</f>
        <v>0</v>
      </c>
      <c r="O41" s="212">
        <f>SUM(O36:O40)</f>
        <v>0</v>
      </c>
      <c r="P41" s="212">
        <f>SUM(P36:P40)</f>
        <v>0</v>
      </c>
      <c r="Q41" s="213">
        <f t="shared" si="2"/>
        <v>0</v>
      </c>
    </row>
    <row r="42" spans="2:20">
      <c r="B42" s="179">
        <v>459949</v>
      </c>
      <c r="C42" s="180">
        <v>1075</v>
      </c>
      <c r="D42" s="179" t="s">
        <v>927</v>
      </c>
      <c r="E42" s="179" t="s">
        <v>874</v>
      </c>
      <c r="F42" s="179" t="s">
        <v>875</v>
      </c>
      <c r="G42" s="181">
        <v>2</v>
      </c>
      <c r="H42" s="182">
        <v>40529</v>
      </c>
      <c r="I42" s="179" t="s">
        <v>896</v>
      </c>
    </row>
    <row r="43" spans="2:20">
      <c r="B43" s="179">
        <v>375792</v>
      </c>
      <c r="C43" s="180">
        <v>1100</v>
      </c>
      <c r="D43" s="179" t="s">
        <v>928</v>
      </c>
      <c r="E43" s="179" t="s">
        <v>883</v>
      </c>
      <c r="F43" s="179" t="s">
        <v>875</v>
      </c>
      <c r="G43" s="181">
        <v>4</v>
      </c>
      <c r="H43" s="182">
        <v>40532</v>
      </c>
      <c r="I43" s="179" t="s">
        <v>891</v>
      </c>
    </row>
    <row r="44" spans="2:20">
      <c r="B44" s="179">
        <v>459949</v>
      </c>
      <c r="C44" s="180">
        <v>1125</v>
      </c>
      <c r="D44" s="179" t="s">
        <v>927</v>
      </c>
      <c r="E44" s="179" t="s">
        <v>881</v>
      </c>
      <c r="F44" s="179" t="s">
        <v>875</v>
      </c>
      <c r="G44" s="181">
        <v>8</v>
      </c>
      <c r="H44" s="182">
        <v>40546</v>
      </c>
      <c r="I44" s="179" t="s">
        <v>891</v>
      </c>
    </row>
    <row r="45" spans="2:20">
      <c r="B45" s="179">
        <v>459949</v>
      </c>
      <c r="C45" s="180">
        <v>1150</v>
      </c>
      <c r="D45" s="179" t="s">
        <v>927</v>
      </c>
      <c r="E45" s="179" t="s">
        <v>881</v>
      </c>
      <c r="F45" s="179" t="s">
        <v>875</v>
      </c>
      <c r="G45" s="181">
        <v>4</v>
      </c>
      <c r="H45" s="182">
        <v>40547</v>
      </c>
      <c r="I45" s="179" t="s">
        <v>893</v>
      </c>
    </row>
    <row r="46" spans="2:20">
      <c r="B46" s="179">
        <v>869277</v>
      </c>
      <c r="C46" s="180">
        <v>1175</v>
      </c>
      <c r="D46" s="179" t="s">
        <v>929</v>
      </c>
      <c r="E46" s="179" t="s">
        <v>884</v>
      </c>
      <c r="F46" s="179" t="s">
        <v>875</v>
      </c>
      <c r="G46" s="181">
        <v>8</v>
      </c>
      <c r="H46" s="182">
        <v>40541</v>
      </c>
      <c r="I46" s="179" t="s">
        <v>880</v>
      </c>
    </row>
    <row r="47" spans="2:20">
      <c r="B47" s="179">
        <v>389844</v>
      </c>
      <c r="C47" s="180">
        <v>1200</v>
      </c>
      <c r="D47" s="179" t="s">
        <v>930</v>
      </c>
      <c r="E47" s="179" t="s">
        <v>884</v>
      </c>
      <c r="F47" s="179" t="s">
        <v>875</v>
      </c>
      <c r="G47" s="181">
        <v>2</v>
      </c>
      <c r="H47" s="182">
        <v>40534</v>
      </c>
      <c r="I47" s="179" t="s">
        <v>880</v>
      </c>
    </row>
    <row r="48" spans="2:20">
      <c r="B48" s="179">
        <v>389844</v>
      </c>
      <c r="C48" s="180">
        <v>1225</v>
      </c>
      <c r="D48" s="179" t="s">
        <v>930</v>
      </c>
      <c r="E48" s="179" t="s">
        <v>884</v>
      </c>
      <c r="F48" s="179" t="s">
        <v>875</v>
      </c>
      <c r="G48" s="181">
        <v>8</v>
      </c>
      <c r="H48" s="182">
        <v>40535</v>
      </c>
      <c r="I48" s="179" t="s">
        <v>876</v>
      </c>
    </row>
    <row r="49" spans="2:9">
      <c r="B49" s="179">
        <v>873164</v>
      </c>
      <c r="C49" s="180">
        <v>1250</v>
      </c>
      <c r="D49" s="179" t="s">
        <v>931</v>
      </c>
      <c r="E49" s="179" t="s">
        <v>884</v>
      </c>
      <c r="F49" s="179" t="s">
        <v>875</v>
      </c>
      <c r="G49" s="181">
        <v>3</v>
      </c>
      <c r="H49" s="182">
        <v>40540</v>
      </c>
      <c r="I49" s="179" t="s">
        <v>893</v>
      </c>
    </row>
    <row r="50" spans="2:9">
      <c r="B50" s="179">
        <v>935382</v>
      </c>
      <c r="C50" s="180">
        <v>1275</v>
      </c>
      <c r="D50" s="179" t="s">
        <v>899</v>
      </c>
      <c r="E50" s="179" t="s">
        <v>884</v>
      </c>
      <c r="F50" s="179" t="s">
        <v>875</v>
      </c>
      <c r="G50" s="181">
        <v>8</v>
      </c>
      <c r="H50" s="182">
        <v>40542</v>
      </c>
      <c r="I50" s="179" t="s">
        <v>876</v>
      </c>
    </row>
    <row r="51" spans="2:9">
      <c r="B51" s="179">
        <v>935382</v>
      </c>
      <c r="C51" s="180">
        <v>1300</v>
      </c>
      <c r="D51" s="179" t="s">
        <v>899</v>
      </c>
      <c r="E51" s="179" t="s">
        <v>884</v>
      </c>
      <c r="F51" s="179" t="s">
        <v>875</v>
      </c>
      <c r="G51" s="181">
        <v>8</v>
      </c>
      <c r="H51" s="182">
        <v>40541</v>
      </c>
      <c r="I51" s="179" t="s">
        <v>880</v>
      </c>
    </row>
    <row r="52" spans="2:9">
      <c r="B52" s="179">
        <v>555166</v>
      </c>
      <c r="C52" s="180">
        <v>1325</v>
      </c>
      <c r="D52" s="179" t="s">
        <v>932</v>
      </c>
      <c r="E52" s="179" t="s">
        <v>884</v>
      </c>
      <c r="F52" s="179" t="s">
        <v>875</v>
      </c>
      <c r="G52" s="181">
        <v>8</v>
      </c>
      <c r="H52" s="182">
        <v>40534</v>
      </c>
      <c r="I52" s="179" t="s">
        <v>880</v>
      </c>
    </row>
    <row r="53" spans="2:9">
      <c r="B53" s="179">
        <v>555166</v>
      </c>
      <c r="C53" s="180">
        <v>1350</v>
      </c>
      <c r="D53" s="179" t="s">
        <v>932</v>
      </c>
      <c r="E53" s="179" t="s">
        <v>884</v>
      </c>
      <c r="F53" s="179" t="s">
        <v>875</v>
      </c>
      <c r="G53" s="181">
        <v>6.25</v>
      </c>
      <c r="H53" s="182">
        <v>40533</v>
      </c>
      <c r="I53" s="179" t="s">
        <v>893</v>
      </c>
    </row>
    <row r="54" spans="2:9">
      <c r="B54" s="179">
        <v>555166</v>
      </c>
      <c r="C54" s="180">
        <v>1375</v>
      </c>
      <c r="D54" s="179" t="s">
        <v>932</v>
      </c>
      <c r="E54" s="179" t="s">
        <v>883</v>
      </c>
      <c r="F54" s="179" t="s">
        <v>875</v>
      </c>
      <c r="G54" s="181">
        <v>4</v>
      </c>
      <c r="H54" s="182">
        <v>40529</v>
      </c>
      <c r="I54" s="179" t="s">
        <v>896</v>
      </c>
    </row>
    <row r="55" spans="2:9">
      <c r="B55" s="179">
        <v>503495</v>
      </c>
      <c r="C55" s="180">
        <v>1400</v>
      </c>
      <c r="D55" s="179" t="s">
        <v>933</v>
      </c>
      <c r="E55" s="179" t="s">
        <v>874</v>
      </c>
      <c r="F55" s="179" t="s">
        <v>875</v>
      </c>
      <c r="G55" s="181">
        <v>2</v>
      </c>
      <c r="H55" s="182">
        <v>40532</v>
      </c>
      <c r="I55" s="179" t="s">
        <v>891</v>
      </c>
    </row>
    <row r="56" spans="2:9">
      <c r="B56" s="179">
        <v>503495</v>
      </c>
      <c r="C56" s="180">
        <v>1425</v>
      </c>
      <c r="D56" s="179" t="s">
        <v>933</v>
      </c>
      <c r="E56" s="179" t="s">
        <v>874</v>
      </c>
      <c r="F56" s="179" t="s">
        <v>875</v>
      </c>
      <c r="G56" s="181">
        <v>8</v>
      </c>
      <c r="H56" s="182">
        <v>40534</v>
      </c>
      <c r="I56" s="179" t="s">
        <v>880</v>
      </c>
    </row>
    <row r="57" spans="2:9">
      <c r="B57" s="179">
        <v>935382</v>
      </c>
      <c r="C57" s="180">
        <v>1450</v>
      </c>
      <c r="D57" s="179" t="s">
        <v>899</v>
      </c>
      <c r="E57" s="179" t="s">
        <v>884</v>
      </c>
      <c r="F57" s="179" t="s">
        <v>875</v>
      </c>
      <c r="G57" s="181">
        <v>8</v>
      </c>
      <c r="H57" s="182">
        <v>40540</v>
      </c>
      <c r="I57" s="179" t="s">
        <v>893</v>
      </c>
    </row>
    <row r="58" spans="2:9">
      <c r="B58" s="179">
        <v>35938</v>
      </c>
      <c r="C58" s="180">
        <v>1475</v>
      </c>
      <c r="D58" s="179" t="s">
        <v>934</v>
      </c>
      <c r="E58" s="179" t="s">
        <v>874</v>
      </c>
      <c r="F58" s="179" t="s">
        <v>875</v>
      </c>
      <c r="G58" s="181">
        <v>2</v>
      </c>
      <c r="H58" s="182">
        <v>40529</v>
      </c>
      <c r="I58" s="179" t="s">
        <v>896</v>
      </c>
    </row>
    <row r="59" spans="2:9">
      <c r="B59" s="179">
        <v>162126</v>
      </c>
      <c r="C59" s="180">
        <v>1500</v>
      </c>
      <c r="D59" s="179" t="s">
        <v>935</v>
      </c>
      <c r="E59" s="179" t="s">
        <v>874</v>
      </c>
      <c r="F59" s="179" t="s">
        <v>875</v>
      </c>
      <c r="G59" s="181">
        <v>3</v>
      </c>
      <c r="H59" s="182">
        <v>40532</v>
      </c>
      <c r="I59" s="179" t="s">
        <v>891</v>
      </c>
    </row>
    <row r="60" spans="2:9">
      <c r="B60" s="179">
        <v>453743</v>
      </c>
      <c r="C60" s="180">
        <v>1525</v>
      </c>
      <c r="D60" s="179" t="s">
        <v>936</v>
      </c>
      <c r="E60" s="179" t="s">
        <v>881</v>
      </c>
      <c r="F60" s="179" t="s">
        <v>875</v>
      </c>
      <c r="G60" s="181">
        <v>3.25</v>
      </c>
      <c r="H60" s="182">
        <v>40532</v>
      </c>
      <c r="I60" s="179" t="s">
        <v>891</v>
      </c>
    </row>
    <row r="61" spans="2:9">
      <c r="B61" s="179">
        <v>674630</v>
      </c>
      <c r="C61" s="180">
        <v>1550</v>
      </c>
      <c r="D61" s="179" t="s">
        <v>905</v>
      </c>
      <c r="E61" s="179" t="s">
        <v>884</v>
      </c>
      <c r="F61" s="179" t="s">
        <v>875</v>
      </c>
      <c r="G61" s="181">
        <v>8</v>
      </c>
      <c r="H61" s="182">
        <v>40532</v>
      </c>
      <c r="I61" s="179" t="s">
        <v>891</v>
      </c>
    </row>
    <row r="62" spans="2:9">
      <c r="B62" s="179">
        <v>422727</v>
      </c>
      <c r="C62" s="180">
        <v>1575</v>
      </c>
      <c r="D62" s="179" t="s">
        <v>937</v>
      </c>
      <c r="E62" s="179" t="s">
        <v>883</v>
      </c>
      <c r="F62" s="179" t="s">
        <v>875</v>
      </c>
      <c r="G62" s="181">
        <v>8</v>
      </c>
      <c r="H62" s="182">
        <v>40533</v>
      </c>
      <c r="I62" s="179" t="s">
        <v>893</v>
      </c>
    </row>
    <row r="63" spans="2:9">
      <c r="B63" s="179">
        <v>820836</v>
      </c>
      <c r="C63" s="180">
        <v>1600</v>
      </c>
      <c r="D63" s="179" t="s">
        <v>938</v>
      </c>
      <c r="E63" s="179" t="s">
        <v>883</v>
      </c>
      <c r="F63" s="179" t="s">
        <v>875</v>
      </c>
      <c r="G63" s="181">
        <v>4</v>
      </c>
      <c r="H63" s="182">
        <v>40529</v>
      </c>
      <c r="I63" s="179" t="s">
        <v>896</v>
      </c>
    </row>
    <row r="64" spans="2:9">
      <c r="B64" s="179">
        <v>647912</v>
      </c>
      <c r="C64" s="180">
        <v>1625</v>
      </c>
      <c r="D64" s="179" t="s">
        <v>939</v>
      </c>
      <c r="E64" s="179" t="s">
        <v>874</v>
      </c>
      <c r="F64" s="179" t="s">
        <v>875</v>
      </c>
      <c r="G64" s="181">
        <v>2.5</v>
      </c>
      <c r="H64" s="182">
        <v>40529</v>
      </c>
      <c r="I64" s="179" t="s">
        <v>896</v>
      </c>
    </row>
    <row r="65" spans="2:9">
      <c r="B65" s="179">
        <v>363618</v>
      </c>
      <c r="C65" s="180">
        <v>1650</v>
      </c>
      <c r="D65" s="179" t="s">
        <v>940</v>
      </c>
      <c r="E65" s="179" t="s">
        <v>874</v>
      </c>
      <c r="F65" s="179" t="s">
        <v>875</v>
      </c>
      <c r="G65" s="181">
        <v>1</v>
      </c>
      <c r="H65" s="182">
        <v>40533</v>
      </c>
      <c r="I65" s="179" t="s">
        <v>893</v>
      </c>
    </row>
    <row r="66" spans="2:9">
      <c r="B66" s="179">
        <v>309284</v>
      </c>
      <c r="C66" s="180">
        <v>1675</v>
      </c>
      <c r="D66" s="179" t="s">
        <v>941</v>
      </c>
      <c r="E66" s="179" t="s">
        <v>874</v>
      </c>
      <c r="F66" s="179" t="s">
        <v>875</v>
      </c>
      <c r="G66" s="181">
        <v>8</v>
      </c>
      <c r="H66" s="182">
        <v>40532</v>
      </c>
      <c r="I66" s="179" t="s">
        <v>891</v>
      </c>
    </row>
    <row r="67" spans="2:9">
      <c r="B67" s="179">
        <v>694606</v>
      </c>
      <c r="C67" s="180">
        <v>1700</v>
      </c>
      <c r="D67" s="179" t="s">
        <v>942</v>
      </c>
      <c r="E67" s="179" t="s">
        <v>874</v>
      </c>
      <c r="F67" s="179" t="s">
        <v>875</v>
      </c>
      <c r="G67" s="181">
        <v>0.75</v>
      </c>
      <c r="H67" s="182">
        <v>40532</v>
      </c>
      <c r="I67" s="179" t="s">
        <v>891</v>
      </c>
    </row>
    <row r="68" spans="2:9">
      <c r="B68" s="179">
        <v>694606</v>
      </c>
      <c r="C68" s="180">
        <v>1725</v>
      </c>
      <c r="D68" s="179" t="s">
        <v>942</v>
      </c>
      <c r="E68" s="179" t="s">
        <v>874</v>
      </c>
      <c r="F68" s="179" t="s">
        <v>875</v>
      </c>
      <c r="G68" s="181">
        <v>0.5</v>
      </c>
      <c r="H68" s="182">
        <v>40541</v>
      </c>
      <c r="I68" s="179" t="s">
        <v>880</v>
      </c>
    </row>
    <row r="69" spans="2:9">
      <c r="B69" s="179">
        <v>942722</v>
      </c>
      <c r="C69" s="180">
        <v>1750</v>
      </c>
      <c r="D69" s="179" t="s">
        <v>943</v>
      </c>
      <c r="E69" s="179" t="s">
        <v>874</v>
      </c>
      <c r="F69" s="179" t="s">
        <v>875</v>
      </c>
      <c r="G69" s="181">
        <v>1</v>
      </c>
      <c r="H69" s="182">
        <v>40533</v>
      </c>
      <c r="I69" s="179" t="s">
        <v>893</v>
      </c>
    </row>
    <row r="70" spans="2:9">
      <c r="B70" s="179">
        <v>689783</v>
      </c>
      <c r="C70" s="180">
        <v>1775</v>
      </c>
      <c r="D70" s="179" t="s">
        <v>944</v>
      </c>
      <c r="E70" s="179" t="s">
        <v>874</v>
      </c>
      <c r="F70" s="179" t="s">
        <v>875</v>
      </c>
      <c r="G70" s="181">
        <v>3</v>
      </c>
      <c r="H70" s="182">
        <v>40541</v>
      </c>
      <c r="I70" s="179" t="s">
        <v>880</v>
      </c>
    </row>
    <row r="71" spans="2:9">
      <c r="B71" s="179">
        <v>572634</v>
      </c>
      <c r="C71" s="180">
        <v>1800</v>
      </c>
      <c r="D71" s="179" t="s">
        <v>945</v>
      </c>
      <c r="E71" s="179" t="s">
        <v>881</v>
      </c>
      <c r="F71" s="179" t="s">
        <v>875</v>
      </c>
      <c r="G71" s="181">
        <v>8</v>
      </c>
      <c r="H71" s="182">
        <v>40529</v>
      </c>
      <c r="I71" s="179" t="s">
        <v>896</v>
      </c>
    </row>
    <row r="72" spans="2:9">
      <c r="B72" s="179">
        <v>572634</v>
      </c>
      <c r="C72" s="180">
        <v>1825</v>
      </c>
      <c r="D72" s="179" t="s">
        <v>945</v>
      </c>
      <c r="E72" s="179" t="s">
        <v>879</v>
      </c>
      <c r="F72" s="179" t="s">
        <v>875</v>
      </c>
      <c r="G72" s="181">
        <v>8</v>
      </c>
      <c r="H72" s="182">
        <v>40532</v>
      </c>
      <c r="I72" s="179" t="s">
        <v>891</v>
      </c>
    </row>
    <row r="73" spans="2:9">
      <c r="B73" s="179">
        <v>572634</v>
      </c>
      <c r="C73" s="180">
        <v>1850</v>
      </c>
      <c r="D73" s="179" t="s">
        <v>945</v>
      </c>
      <c r="E73" s="179" t="s">
        <v>879</v>
      </c>
      <c r="F73" s="179" t="s">
        <v>875</v>
      </c>
      <c r="G73" s="181">
        <v>8</v>
      </c>
      <c r="H73" s="182">
        <v>40533</v>
      </c>
      <c r="I73" s="179" t="s">
        <v>893</v>
      </c>
    </row>
    <row r="74" spans="2:9">
      <c r="B74" s="179">
        <v>572634</v>
      </c>
      <c r="C74" s="180">
        <v>1875</v>
      </c>
      <c r="D74" s="179" t="s">
        <v>945</v>
      </c>
      <c r="E74" s="179" t="s">
        <v>879</v>
      </c>
      <c r="F74" s="179" t="s">
        <v>875</v>
      </c>
      <c r="G74" s="181">
        <v>8</v>
      </c>
      <c r="H74" s="182">
        <v>40534</v>
      </c>
      <c r="I74" s="179" t="s">
        <v>880</v>
      </c>
    </row>
    <row r="75" spans="2:9">
      <c r="B75" s="179">
        <v>53568</v>
      </c>
      <c r="C75" s="180">
        <v>1900</v>
      </c>
      <c r="D75" s="179" t="s">
        <v>946</v>
      </c>
      <c r="E75" s="179" t="s">
        <v>884</v>
      </c>
      <c r="F75" s="179" t="s">
        <v>875</v>
      </c>
      <c r="G75" s="181">
        <v>8</v>
      </c>
      <c r="H75" s="182">
        <v>40542</v>
      </c>
      <c r="I75" s="179" t="s">
        <v>876</v>
      </c>
    </row>
    <row r="76" spans="2:9">
      <c r="B76" s="179">
        <v>341458</v>
      </c>
      <c r="C76" s="180">
        <v>1925</v>
      </c>
      <c r="D76" s="179" t="s">
        <v>903</v>
      </c>
      <c r="E76" s="179" t="s">
        <v>884</v>
      </c>
      <c r="F76" s="179" t="s">
        <v>875</v>
      </c>
      <c r="G76" s="181">
        <v>8</v>
      </c>
      <c r="H76" s="182">
        <v>40542</v>
      </c>
      <c r="I76" s="179" t="s">
        <v>876</v>
      </c>
    </row>
    <row r="77" spans="2:9">
      <c r="B77" s="179">
        <v>645109</v>
      </c>
      <c r="C77" s="180">
        <v>1950</v>
      </c>
      <c r="D77" s="179" t="s">
        <v>878</v>
      </c>
      <c r="E77" s="179" t="s">
        <v>884</v>
      </c>
      <c r="F77" s="179" t="s">
        <v>875</v>
      </c>
      <c r="G77" s="181">
        <v>4</v>
      </c>
      <c r="H77" s="182">
        <v>40533</v>
      </c>
      <c r="I77" s="179" t="s">
        <v>893</v>
      </c>
    </row>
    <row r="78" spans="2:9">
      <c r="B78" s="179">
        <v>645109</v>
      </c>
      <c r="C78" s="180">
        <v>1975</v>
      </c>
      <c r="D78" s="179" t="s">
        <v>878</v>
      </c>
      <c r="E78" s="179" t="s">
        <v>884</v>
      </c>
      <c r="F78" s="179" t="s">
        <v>875</v>
      </c>
      <c r="G78" s="181">
        <v>8</v>
      </c>
      <c r="H78" s="182">
        <v>40534</v>
      </c>
      <c r="I78" s="179" t="s">
        <v>880</v>
      </c>
    </row>
    <row r="79" spans="2:9">
      <c r="B79" s="179">
        <v>645109</v>
      </c>
      <c r="C79" s="180">
        <v>2000</v>
      </c>
      <c r="D79" s="179" t="s">
        <v>878</v>
      </c>
      <c r="E79" s="179" t="s">
        <v>884</v>
      </c>
      <c r="F79" s="179" t="s">
        <v>875</v>
      </c>
      <c r="G79" s="181">
        <v>8</v>
      </c>
      <c r="H79" s="182">
        <v>40535</v>
      </c>
      <c r="I79" s="179" t="s">
        <v>876</v>
      </c>
    </row>
    <row r="80" spans="2:9">
      <c r="B80" s="179">
        <v>309793</v>
      </c>
      <c r="C80" s="180">
        <v>2025</v>
      </c>
      <c r="D80" s="179" t="s">
        <v>947</v>
      </c>
      <c r="E80" s="179" t="s">
        <v>883</v>
      </c>
      <c r="F80" s="179" t="s">
        <v>875</v>
      </c>
      <c r="G80" s="181">
        <v>2</v>
      </c>
      <c r="H80" s="182">
        <v>40534</v>
      </c>
      <c r="I80" s="179" t="s">
        <v>880</v>
      </c>
    </row>
    <row r="81" spans="2:9">
      <c r="B81" s="179">
        <v>689074</v>
      </c>
      <c r="C81" s="180">
        <v>2050</v>
      </c>
      <c r="D81" s="179" t="s">
        <v>948</v>
      </c>
      <c r="E81" s="179" t="s">
        <v>884</v>
      </c>
      <c r="F81" s="179" t="s">
        <v>875</v>
      </c>
      <c r="G81" s="181">
        <v>8</v>
      </c>
      <c r="H81" s="182">
        <v>40540</v>
      </c>
      <c r="I81" s="179" t="s">
        <v>893</v>
      </c>
    </row>
    <row r="82" spans="2:9">
      <c r="B82" s="179">
        <v>689074</v>
      </c>
      <c r="C82" s="180">
        <v>2075</v>
      </c>
      <c r="D82" s="179" t="s">
        <v>948</v>
      </c>
      <c r="E82" s="179" t="s">
        <v>884</v>
      </c>
      <c r="F82" s="179" t="s">
        <v>875</v>
      </c>
      <c r="G82" s="181">
        <v>8</v>
      </c>
      <c r="H82" s="182">
        <v>40541</v>
      </c>
      <c r="I82" s="179" t="s">
        <v>880</v>
      </c>
    </row>
    <row r="83" spans="2:9">
      <c r="B83" s="179">
        <v>689074</v>
      </c>
      <c r="C83" s="180">
        <v>2100</v>
      </c>
      <c r="D83" s="179" t="s">
        <v>948</v>
      </c>
      <c r="E83" s="179" t="s">
        <v>884</v>
      </c>
      <c r="F83" s="179" t="s">
        <v>875</v>
      </c>
      <c r="G83" s="181">
        <v>8</v>
      </c>
      <c r="H83" s="182">
        <v>40542</v>
      </c>
      <c r="I83" s="179" t="s">
        <v>876</v>
      </c>
    </row>
    <row r="84" spans="2:9">
      <c r="B84" s="179">
        <v>609303</v>
      </c>
      <c r="C84" s="180">
        <v>2125</v>
      </c>
      <c r="D84" s="179" t="s">
        <v>949</v>
      </c>
      <c r="E84" s="179" t="s">
        <v>884</v>
      </c>
      <c r="F84" s="179" t="s">
        <v>875</v>
      </c>
      <c r="G84" s="181">
        <v>8</v>
      </c>
      <c r="H84" s="182">
        <v>40540</v>
      </c>
      <c r="I84" s="179" t="s">
        <v>893</v>
      </c>
    </row>
    <row r="85" spans="2:9">
      <c r="B85" s="179">
        <v>185450</v>
      </c>
      <c r="C85" s="180">
        <v>2150</v>
      </c>
      <c r="D85" s="179" t="s">
        <v>950</v>
      </c>
      <c r="E85" s="179" t="s">
        <v>884</v>
      </c>
      <c r="F85" s="179" t="s">
        <v>875</v>
      </c>
      <c r="G85" s="181">
        <v>4</v>
      </c>
      <c r="H85" s="182">
        <v>40533</v>
      </c>
      <c r="I85" s="179" t="s">
        <v>893</v>
      </c>
    </row>
    <row r="86" spans="2:9">
      <c r="B86" s="179">
        <v>525099</v>
      </c>
      <c r="C86" s="180">
        <v>2175</v>
      </c>
      <c r="D86" s="179" t="s">
        <v>951</v>
      </c>
      <c r="E86" s="179" t="s">
        <v>884</v>
      </c>
      <c r="F86" s="179" t="s">
        <v>875</v>
      </c>
      <c r="G86" s="181">
        <v>8</v>
      </c>
      <c r="H86" s="182">
        <v>40532</v>
      </c>
      <c r="I86" s="179" t="s">
        <v>891</v>
      </c>
    </row>
    <row r="87" spans="2:9">
      <c r="B87" s="179">
        <v>217327</v>
      </c>
      <c r="C87" s="180">
        <v>2200</v>
      </c>
      <c r="D87" s="179" t="s">
        <v>952</v>
      </c>
      <c r="E87" s="179" t="s">
        <v>884</v>
      </c>
      <c r="F87" s="179" t="s">
        <v>875</v>
      </c>
      <c r="G87" s="181">
        <v>8</v>
      </c>
      <c r="H87" s="182">
        <v>40529</v>
      </c>
      <c r="I87" s="179" t="s">
        <v>896</v>
      </c>
    </row>
    <row r="88" spans="2:9">
      <c r="B88" s="179">
        <v>585545</v>
      </c>
      <c r="C88" s="180">
        <v>2225</v>
      </c>
      <c r="D88" s="179" t="s">
        <v>953</v>
      </c>
      <c r="E88" s="179" t="s">
        <v>884</v>
      </c>
      <c r="F88" s="179" t="s">
        <v>875</v>
      </c>
      <c r="G88" s="181">
        <v>8</v>
      </c>
      <c r="H88" s="182">
        <v>40540</v>
      </c>
      <c r="I88" s="179" t="s">
        <v>893</v>
      </c>
    </row>
    <row r="89" spans="2:9">
      <c r="B89" s="179">
        <v>853351</v>
      </c>
      <c r="C89" s="180">
        <v>2250</v>
      </c>
      <c r="D89" s="179" t="s">
        <v>954</v>
      </c>
      <c r="E89" s="179" t="s">
        <v>874</v>
      </c>
      <c r="F89" s="179" t="s">
        <v>875</v>
      </c>
      <c r="G89" s="181">
        <v>2</v>
      </c>
      <c r="H89" s="182">
        <v>40532</v>
      </c>
      <c r="I89" s="179" t="s">
        <v>891</v>
      </c>
    </row>
    <row r="90" spans="2:9">
      <c r="B90" s="179">
        <v>853351</v>
      </c>
      <c r="C90" s="180">
        <v>2275</v>
      </c>
      <c r="D90" s="179" t="s">
        <v>954</v>
      </c>
      <c r="E90" s="179" t="s">
        <v>874</v>
      </c>
      <c r="F90" s="179" t="s">
        <v>875</v>
      </c>
      <c r="G90" s="181">
        <v>4</v>
      </c>
      <c r="H90" s="182">
        <v>40529</v>
      </c>
      <c r="I90" s="179" t="s">
        <v>896</v>
      </c>
    </row>
    <row r="91" spans="2:9">
      <c r="B91" s="179">
        <v>853351</v>
      </c>
      <c r="C91" s="180">
        <v>2300</v>
      </c>
      <c r="D91" s="179" t="s">
        <v>954</v>
      </c>
      <c r="E91" s="179" t="s">
        <v>884</v>
      </c>
      <c r="F91" s="179" t="s">
        <v>875</v>
      </c>
      <c r="G91" s="181">
        <v>8</v>
      </c>
      <c r="H91" s="182">
        <v>40533</v>
      </c>
      <c r="I91" s="179" t="s">
        <v>893</v>
      </c>
    </row>
    <row r="92" spans="2:9">
      <c r="B92" s="179">
        <v>972886</v>
      </c>
      <c r="C92" s="180">
        <v>2325</v>
      </c>
      <c r="D92" s="179" t="s">
        <v>955</v>
      </c>
      <c r="E92" s="179" t="s">
        <v>874</v>
      </c>
      <c r="F92" s="179" t="s">
        <v>875</v>
      </c>
      <c r="G92" s="181">
        <v>1</v>
      </c>
      <c r="H92" s="182">
        <v>40532</v>
      </c>
      <c r="I92" s="179" t="s">
        <v>891</v>
      </c>
    </row>
    <row r="93" spans="2:9">
      <c r="B93" s="179">
        <v>934035</v>
      </c>
      <c r="C93" s="180">
        <v>2350</v>
      </c>
      <c r="D93" s="179" t="s">
        <v>956</v>
      </c>
      <c r="E93" s="179" t="s">
        <v>881</v>
      </c>
      <c r="F93" s="179" t="s">
        <v>875</v>
      </c>
      <c r="G93" s="181">
        <v>4</v>
      </c>
      <c r="H93" s="182">
        <v>40547</v>
      </c>
      <c r="I93" s="179" t="s">
        <v>893</v>
      </c>
    </row>
    <row r="94" spans="2:9">
      <c r="B94" s="179">
        <v>459949</v>
      </c>
      <c r="C94" s="180">
        <v>2375</v>
      </c>
      <c r="D94" s="179" t="s">
        <v>927</v>
      </c>
      <c r="E94" s="179" t="s">
        <v>881</v>
      </c>
      <c r="F94" s="179" t="s">
        <v>875</v>
      </c>
      <c r="G94" s="181">
        <v>5</v>
      </c>
      <c r="H94" s="182">
        <v>40547</v>
      </c>
      <c r="I94" s="179" t="s">
        <v>893</v>
      </c>
    </row>
    <row r="95" spans="2:9">
      <c r="B95" s="179">
        <v>459949</v>
      </c>
      <c r="C95" s="180">
        <v>2400</v>
      </c>
      <c r="D95" s="179" t="s">
        <v>927</v>
      </c>
      <c r="E95" s="179" t="s">
        <v>881</v>
      </c>
      <c r="F95" s="179" t="s">
        <v>875</v>
      </c>
      <c r="G95" s="181">
        <v>-4</v>
      </c>
      <c r="H95" s="182">
        <v>40547</v>
      </c>
      <c r="I95" s="179" t="s">
        <v>893</v>
      </c>
    </row>
    <row r="96" spans="2:9">
      <c r="B96" s="179">
        <v>459949</v>
      </c>
      <c r="C96" s="180">
        <v>2425</v>
      </c>
      <c r="D96" s="179" t="s">
        <v>927</v>
      </c>
      <c r="E96" s="179" t="s">
        <v>881</v>
      </c>
      <c r="F96" s="179" t="s">
        <v>875</v>
      </c>
      <c r="G96" s="181">
        <v>3</v>
      </c>
      <c r="H96" s="182">
        <v>40548</v>
      </c>
      <c r="I96" s="179" t="s">
        <v>880</v>
      </c>
    </row>
    <row r="97" spans="2:9">
      <c r="B97" s="179">
        <v>377203</v>
      </c>
      <c r="C97" s="180">
        <v>2450</v>
      </c>
      <c r="D97" s="179" t="s">
        <v>957</v>
      </c>
      <c r="E97" s="179" t="s">
        <v>874</v>
      </c>
      <c r="F97" s="179" t="s">
        <v>875</v>
      </c>
      <c r="G97" s="181">
        <v>1</v>
      </c>
      <c r="H97" s="182">
        <v>40546</v>
      </c>
      <c r="I97" s="179" t="s">
        <v>891</v>
      </c>
    </row>
    <row r="98" spans="2:9">
      <c r="B98" s="179">
        <v>728279</v>
      </c>
      <c r="C98" s="180">
        <v>2475</v>
      </c>
      <c r="D98" s="179" t="s">
        <v>958</v>
      </c>
      <c r="E98" s="179" t="s">
        <v>884</v>
      </c>
      <c r="F98" s="179" t="s">
        <v>875</v>
      </c>
      <c r="G98" s="181">
        <v>7</v>
      </c>
      <c r="H98" s="182">
        <v>40549</v>
      </c>
      <c r="I98" s="179" t="s">
        <v>876</v>
      </c>
    </row>
    <row r="99" spans="2:9">
      <c r="B99" s="179">
        <v>642295</v>
      </c>
      <c r="C99" s="180">
        <v>2500</v>
      </c>
      <c r="D99" s="179" t="s">
        <v>959</v>
      </c>
      <c r="E99" s="179" t="s">
        <v>881</v>
      </c>
      <c r="F99" s="179" t="s">
        <v>875</v>
      </c>
      <c r="G99" s="181">
        <v>8</v>
      </c>
      <c r="H99" s="182">
        <v>40550</v>
      </c>
      <c r="I99" s="179" t="s">
        <v>896</v>
      </c>
    </row>
    <row r="100" spans="2:9">
      <c r="B100" s="179">
        <v>624084</v>
      </c>
      <c r="C100" s="180">
        <v>2525</v>
      </c>
      <c r="D100" s="179" t="s">
        <v>902</v>
      </c>
      <c r="E100" s="179" t="s">
        <v>874</v>
      </c>
      <c r="F100" s="179" t="s">
        <v>875</v>
      </c>
      <c r="G100" s="181">
        <v>-1.25</v>
      </c>
      <c r="H100" s="182">
        <v>40528</v>
      </c>
      <c r="I100" s="179" t="s">
        <v>876</v>
      </c>
    </row>
    <row r="101" spans="2:9">
      <c r="B101" s="179">
        <v>624084</v>
      </c>
      <c r="C101" s="180">
        <v>2550</v>
      </c>
      <c r="D101" s="179" t="s">
        <v>902</v>
      </c>
      <c r="E101" s="179" t="s">
        <v>874</v>
      </c>
      <c r="F101" s="179" t="s">
        <v>875</v>
      </c>
      <c r="G101" s="181">
        <v>1.75</v>
      </c>
      <c r="H101" s="182">
        <v>40528</v>
      </c>
      <c r="I101" s="179" t="s">
        <v>876</v>
      </c>
    </row>
    <row r="102" spans="2:9">
      <c r="B102" s="179">
        <v>728279</v>
      </c>
      <c r="C102" s="180">
        <v>2575</v>
      </c>
      <c r="D102" s="179" t="s">
        <v>958</v>
      </c>
      <c r="E102" s="179" t="s">
        <v>874</v>
      </c>
      <c r="F102" s="179" t="s">
        <v>875</v>
      </c>
      <c r="G102" s="181">
        <v>2</v>
      </c>
      <c r="H102" s="182">
        <v>40528</v>
      </c>
      <c r="I102" s="179" t="s">
        <v>876</v>
      </c>
    </row>
    <row r="103" spans="2:9">
      <c r="B103" s="179">
        <v>140990</v>
      </c>
      <c r="C103" s="180">
        <v>2600</v>
      </c>
      <c r="D103" s="179" t="s">
        <v>910</v>
      </c>
      <c r="E103" s="179" t="s">
        <v>874</v>
      </c>
      <c r="F103" s="179" t="s">
        <v>875</v>
      </c>
      <c r="G103" s="181">
        <v>3</v>
      </c>
      <c r="H103" s="182">
        <v>40528</v>
      </c>
      <c r="I103" s="179" t="s">
        <v>876</v>
      </c>
    </row>
    <row r="104" spans="2:9">
      <c r="B104" s="179">
        <v>198333</v>
      </c>
      <c r="C104" s="180">
        <v>2625</v>
      </c>
      <c r="D104" s="179" t="s">
        <v>960</v>
      </c>
      <c r="E104" s="179" t="s">
        <v>884</v>
      </c>
      <c r="F104" s="179" t="s">
        <v>875</v>
      </c>
      <c r="G104" s="181">
        <v>4</v>
      </c>
      <c r="H104" s="182">
        <v>40528</v>
      </c>
      <c r="I104" s="179" t="s">
        <v>876</v>
      </c>
    </row>
    <row r="105" spans="2:9">
      <c r="B105" s="179">
        <v>44371</v>
      </c>
      <c r="C105" s="180">
        <v>2650</v>
      </c>
      <c r="D105" s="179" t="s">
        <v>961</v>
      </c>
      <c r="E105" s="179" t="s">
        <v>884</v>
      </c>
      <c r="F105" s="179" t="s">
        <v>875</v>
      </c>
      <c r="G105" s="181">
        <v>3</v>
      </c>
      <c r="H105" s="182">
        <v>40527</v>
      </c>
      <c r="I105" s="179" t="s">
        <v>880</v>
      </c>
    </row>
    <row r="106" spans="2:9">
      <c r="B106" s="179">
        <v>44371</v>
      </c>
      <c r="C106" s="180">
        <v>2675</v>
      </c>
      <c r="D106" s="179" t="s">
        <v>961</v>
      </c>
      <c r="E106" s="179" t="s">
        <v>884</v>
      </c>
      <c r="F106" s="179" t="s">
        <v>875</v>
      </c>
      <c r="G106" s="181">
        <v>8</v>
      </c>
      <c r="H106" s="182">
        <v>40528</v>
      </c>
      <c r="I106" s="179" t="s">
        <v>876</v>
      </c>
    </row>
    <row r="107" spans="2:9">
      <c r="B107" s="179">
        <v>988116</v>
      </c>
      <c r="C107" s="180">
        <v>2700</v>
      </c>
      <c r="D107" s="179" t="s">
        <v>962</v>
      </c>
      <c r="E107" s="179" t="s">
        <v>884</v>
      </c>
      <c r="F107" s="179" t="s">
        <v>875</v>
      </c>
      <c r="G107" s="181">
        <v>7</v>
      </c>
      <c r="H107" s="182">
        <v>40527</v>
      </c>
      <c r="I107" s="179" t="s">
        <v>880</v>
      </c>
    </row>
    <row r="108" spans="2:9">
      <c r="B108" s="179">
        <v>500684</v>
      </c>
      <c r="C108" s="180">
        <v>2725</v>
      </c>
      <c r="D108" s="179" t="s">
        <v>963</v>
      </c>
      <c r="E108" s="179" t="s">
        <v>874</v>
      </c>
      <c r="F108" s="179" t="s">
        <v>875</v>
      </c>
      <c r="G108" s="181">
        <v>1</v>
      </c>
      <c r="H108" s="182">
        <v>40528</v>
      </c>
      <c r="I108" s="179" t="s">
        <v>876</v>
      </c>
    </row>
    <row r="109" spans="2:9">
      <c r="B109" s="179">
        <v>429643</v>
      </c>
      <c r="C109" s="180">
        <v>2750</v>
      </c>
      <c r="D109" s="179" t="s">
        <v>964</v>
      </c>
      <c r="E109" s="179" t="s">
        <v>884</v>
      </c>
      <c r="F109" s="179" t="s">
        <v>875</v>
      </c>
      <c r="G109" s="181">
        <v>8</v>
      </c>
      <c r="H109" s="182">
        <v>40527</v>
      </c>
      <c r="I109" s="179" t="s">
        <v>880</v>
      </c>
    </row>
    <row r="110" spans="2:9">
      <c r="B110" s="179">
        <v>429643</v>
      </c>
      <c r="C110" s="180">
        <v>2775</v>
      </c>
      <c r="D110" s="179" t="s">
        <v>964</v>
      </c>
      <c r="E110" s="179" t="s">
        <v>874</v>
      </c>
      <c r="F110" s="179" t="s">
        <v>875</v>
      </c>
      <c r="G110" s="181">
        <v>2.75</v>
      </c>
      <c r="H110" s="182">
        <v>40528</v>
      </c>
      <c r="I110" s="179" t="s">
        <v>876</v>
      </c>
    </row>
    <row r="111" spans="2:9">
      <c r="B111" s="179">
        <v>738503</v>
      </c>
      <c r="C111" s="180">
        <v>2800</v>
      </c>
      <c r="D111" s="179" t="s">
        <v>965</v>
      </c>
      <c r="E111" s="179" t="s">
        <v>874</v>
      </c>
      <c r="F111" s="179" t="s">
        <v>875</v>
      </c>
      <c r="G111" s="181">
        <v>1.25</v>
      </c>
      <c r="H111" s="182">
        <v>40528</v>
      </c>
      <c r="I111" s="179" t="s">
        <v>876</v>
      </c>
    </row>
    <row r="112" spans="2:9">
      <c r="B112" s="179">
        <v>55381</v>
      </c>
      <c r="C112" s="180">
        <v>2825</v>
      </c>
      <c r="D112" s="179" t="s">
        <v>966</v>
      </c>
      <c r="E112" s="179" t="s">
        <v>874</v>
      </c>
      <c r="F112" s="179" t="s">
        <v>875</v>
      </c>
      <c r="G112" s="181">
        <v>8</v>
      </c>
      <c r="H112" s="182">
        <v>40527</v>
      </c>
      <c r="I112" s="179" t="s">
        <v>880</v>
      </c>
    </row>
    <row r="113" spans="2:9">
      <c r="B113" s="179">
        <v>115195</v>
      </c>
      <c r="C113" s="180">
        <v>2850</v>
      </c>
      <c r="D113" s="179" t="s">
        <v>967</v>
      </c>
      <c r="E113" s="179" t="s">
        <v>874</v>
      </c>
      <c r="F113" s="179" t="s">
        <v>875</v>
      </c>
      <c r="G113" s="181">
        <v>1.5</v>
      </c>
      <c r="H113" s="182">
        <v>40527</v>
      </c>
      <c r="I113" s="179" t="s">
        <v>880</v>
      </c>
    </row>
    <row r="114" spans="2:9">
      <c r="B114" s="179">
        <v>545521</v>
      </c>
      <c r="C114" s="180">
        <v>2875</v>
      </c>
      <c r="D114" s="179" t="s">
        <v>968</v>
      </c>
      <c r="E114" s="179" t="s">
        <v>884</v>
      </c>
      <c r="F114" s="179" t="s">
        <v>875</v>
      </c>
      <c r="G114" s="181">
        <v>2.25</v>
      </c>
      <c r="H114" s="182">
        <v>40528</v>
      </c>
      <c r="I114" s="179" t="s">
        <v>876</v>
      </c>
    </row>
    <row r="115" spans="2:9">
      <c r="B115" s="179">
        <v>775444</v>
      </c>
      <c r="C115" s="180">
        <v>2900</v>
      </c>
      <c r="D115" s="179" t="s">
        <v>969</v>
      </c>
      <c r="E115" s="179" t="s">
        <v>874</v>
      </c>
      <c r="F115" s="179" t="s">
        <v>875</v>
      </c>
      <c r="G115" s="181">
        <v>1</v>
      </c>
      <c r="H115" s="182">
        <v>40528</v>
      </c>
      <c r="I115" s="179" t="s">
        <v>876</v>
      </c>
    </row>
    <row r="116" spans="2:9">
      <c r="B116" s="179">
        <v>856465</v>
      </c>
      <c r="C116" s="180">
        <v>2925</v>
      </c>
      <c r="D116" s="179" t="s">
        <v>970</v>
      </c>
      <c r="E116" s="179" t="s">
        <v>874</v>
      </c>
      <c r="F116" s="179" t="s">
        <v>875</v>
      </c>
      <c r="G116" s="181">
        <v>6</v>
      </c>
      <c r="H116" s="182">
        <v>40527</v>
      </c>
      <c r="I116" s="179" t="s">
        <v>880</v>
      </c>
    </row>
    <row r="117" spans="2:9">
      <c r="B117" s="179">
        <v>555242</v>
      </c>
      <c r="C117" s="180">
        <v>2950</v>
      </c>
      <c r="D117" s="179" t="s">
        <v>971</v>
      </c>
      <c r="E117" s="179" t="s">
        <v>874</v>
      </c>
      <c r="F117" s="179" t="s">
        <v>875</v>
      </c>
      <c r="G117" s="181">
        <v>3.5</v>
      </c>
      <c r="H117" s="182">
        <v>40528</v>
      </c>
      <c r="I117" s="179" t="s">
        <v>876</v>
      </c>
    </row>
    <row r="118" spans="2:9">
      <c r="B118" s="179">
        <v>251999</v>
      </c>
      <c r="C118" s="180">
        <v>2975</v>
      </c>
      <c r="D118" s="179" t="s">
        <v>972</v>
      </c>
      <c r="E118" s="179" t="s">
        <v>884</v>
      </c>
      <c r="F118" s="179" t="s">
        <v>875</v>
      </c>
      <c r="G118" s="181">
        <v>1.5</v>
      </c>
      <c r="H118" s="182">
        <v>40528</v>
      </c>
      <c r="I118" s="179" t="s">
        <v>876</v>
      </c>
    </row>
    <row r="119" spans="2:9">
      <c r="B119" s="179">
        <v>99193</v>
      </c>
      <c r="C119" s="180">
        <v>3000</v>
      </c>
      <c r="D119" s="179" t="s">
        <v>973</v>
      </c>
      <c r="E119" s="179" t="s">
        <v>884</v>
      </c>
      <c r="F119" s="179" t="s">
        <v>875</v>
      </c>
      <c r="G119" s="181">
        <v>4</v>
      </c>
      <c r="H119" s="182">
        <v>40527</v>
      </c>
      <c r="I119" s="179" t="s">
        <v>880</v>
      </c>
    </row>
    <row r="120" spans="2:9">
      <c r="B120" s="179">
        <v>99193</v>
      </c>
      <c r="C120" s="180">
        <v>3025</v>
      </c>
      <c r="D120" s="179" t="s">
        <v>973</v>
      </c>
      <c r="E120" s="179" t="s">
        <v>884</v>
      </c>
      <c r="F120" s="179" t="s">
        <v>875</v>
      </c>
      <c r="G120" s="181">
        <v>8</v>
      </c>
      <c r="H120" s="182">
        <v>40528</v>
      </c>
      <c r="I120" s="179" t="s">
        <v>876</v>
      </c>
    </row>
    <row r="121" spans="2:9">
      <c r="B121" s="179">
        <v>392062</v>
      </c>
      <c r="C121" s="180">
        <v>3050</v>
      </c>
      <c r="D121" s="179" t="s">
        <v>974</v>
      </c>
      <c r="E121" s="179" t="s">
        <v>884</v>
      </c>
      <c r="F121" s="179" t="s">
        <v>875</v>
      </c>
      <c r="G121" s="181">
        <v>8</v>
      </c>
      <c r="H121" s="182">
        <v>40528</v>
      </c>
      <c r="I121" s="179" t="s">
        <v>876</v>
      </c>
    </row>
    <row r="122" spans="2:9">
      <c r="B122" s="179">
        <v>422727</v>
      </c>
      <c r="C122" s="180">
        <v>3075</v>
      </c>
      <c r="D122" s="179" t="s">
        <v>937</v>
      </c>
      <c r="E122" s="179" t="s">
        <v>883</v>
      </c>
      <c r="F122" s="179" t="s">
        <v>875</v>
      </c>
      <c r="G122" s="181">
        <v>2</v>
      </c>
      <c r="H122" s="182">
        <v>40528</v>
      </c>
      <c r="I122" s="179" t="s">
        <v>876</v>
      </c>
    </row>
    <row r="123" spans="2:9">
      <c r="B123" s="179">
        <v>377203</v>
      </c>
      <c r="C123" s="180">
        <v>3100</v>
      </c>
      <c r="D123" s="179" t="s">
        <v>957</v>
      </c>
      <c r="E123" s="179" t="s">
        <v>874</v>
      </c>
      <c r="F123" s="179" t="s">
        <v>875</v>
      </c>
      <c r="G123" s="181">
        <v>1</v>
      </c>
      <c r="H123" s="182">
        <v>40534</v>
      </c>
      <c r="I123" s="179" t="s">
        <v>880</v>
      </c>
    </row>
    <row r="124" spans="2:9">
      <c r="B124" s="179">
        <v>654062</v>
      </c>
      <c r="C124" s="180">
        <v>3125</v>
      </c>
      <c r="D124" s="179" t="s">
        <v>975</v>
      </c>
      <c r="E124" s="179" t="s">
        <v>884</v>
      </c>
      <c r="F124" s="179" t="s">
        <v>875</v>
      </c>
      <c r="G124" s="181">
        <v>8</v>
      </c>
      <c r="H124" s="182">
        <v>40533</v>
      </c>
      <c r="I124" s="179" t="s">
        <v>893</v>
      </c>
    </row>
    <row r="125" spans="2:9">
      <c r="B125" s="179">
        <v>755355</v>
      </c>
      <c r="C125" s="180">
        <v>3150</v>
      </c>
      <c r="D125" s="179" t="s">
        <v>976</v>
      </c>
      <c r="E125" s="179" t="s">
        <v>884</v>
      </c>
      <c r="F125" s="179" t="s">
        <v>875</v>
      </c>
      <c r="G125" s="181">
        <v>8</v>
      </c>
      <c r="H125" s="182">
        <v>40533</v>
      </c>
      <c r="I125" s="179" t="s">
        <v>893</v>
      </c>
    </row>
    <row r="126" spans="2:9">
      <c r="B126" s="179">
        <v>555862</v>
      </c>
      <c r="C126" s="180">
        <v>3175</v>
      </c>
      <c r="D126" s="179" t="s">
        <v>977</v>
      </c>
      <c r="E126" s="179" t="s">
        <v>874</v>
      </c>
      <c r="F126" s="179" t="s">
        <v>875</v>
      </c>
      <c r="G126" s="181">
        <v>2</v>
      </c>
      <c r="H126" s="182">
        <v>40529</v>
      </c>
      <c r="I126" s="179" t="s">
        <v>896</v>
      </c>
    </row>
    <row r="127" spans="2:9">
      <c r="B127" s="179">
        <v>338561</v>
      </c>
      <c r="C127" s="180">
        <v>3200</v>
      </c>
      <c r="D127" s="179" t="s">
        <v>978</v>
      </c>
      <c r="E127" s="179" t="s">
        <v>874</v>
      </c>
      <c r="F127" s="179" t="s">
        <v>875</v>
      </c>
      <c r="G127" s="181">
        <v>1</v>
      </c>
      <c r="H127" s="182">
        <v>40540</v>
      </c>
      <c r="I127" s="179" t="s">
        <v>893</v>
      </c>
    </row>
    <row r="128" spans="2:9">
      <c r="B128" s="179">
        <v>226479</v>
      </c>
      <c r="C128" s="180">
        <v>3225</v>
      </c>
      <c r="D128" s="179" t="s">
        <v>979</v>
      </c>
      <c r="E128" s="179" t="s">
        <v>874</v>
      </c>
      <c r="F128" s="179" t="s">
        <v>875</v>
      </c>
      <c r="G128" s="181">
        <v>1</v>
      </c>
      <c r="H128" s="182">
        <v>40532</v>
      </c>
      <c r="I128" s="179" t="s">
        <v>891</v>
      </c>
    </row>
    <row r="129" spans="2:9">
      <c r="B129" s="179">
        <v>226479</v>
      </c>
      <c r="C129" s="180">
        <v>3250</v>
      </c>
      <c r="D129" s="179" t="s">
        <v>979</v>
      </c>
      <c r="E129" s="179" t="s">
        <v>874</v>
      </c>
      <c r="F129" s="179" t="s">
        <v>875</v>
      </c>
      <c r="G129" s="181">
        <v>2</v>
      </c>
      <c r="H129" s="182">
        <v>40535</v>
      </c>
      <c r="I129" s="179" t="s">
        <v>876</v>
      </c>
    </row>
    <row r="130" spans="2:9">
      <c r="B130" s="179">
        <v>500684</v>
      </c>
      <c r="C130" s="180">
        <v>3275</v>
      </c>
      <c r="D130" s="179" t="s">
        <v>963</v>
      </c>
      <c r="E130" s="179" t="s">
        <v>883</v>
      </c>
      <c r="F130" s="179" t="s">
        <v>875</v>
      </c>
      <c r="G130" s="181">
        <v>3</v>
      </c>
      <c r="H130" s="182">
        <v>40532</v>
      </c>
      <c r="I130" s="179" t="s">
        <v>891</v>
      </c>
    </row>
    <row r="131" spans="2:9">
      <c r="B131" s="179">
        <v>462639</v>
      </c>
      <c r="C131" s="180">
        <v>3300</v>
      </c>
      <c r="D131" s="179" t="s">
        <v>980</v>
      </c>
      <c r="E131" s="179" t="s">
        <v>884</v>
      </c>
      <c r="F131" s="179" t="s">
        <v>875</v>
      </c>
      <c r="G131" s="181">
        <v>5</v>
      </c>
      <c r="H131" s="182">
        <v>40541</v>
      </c>
      <c r="I131" s="179" t="s">
        <v>880</v>
      </c>
    </row>
    <row r="132" spans="2:9">
      <c r="B132" s="179">
        <v>793716</v>
      </c>
      <c r="C132" s="180">
        <v>3325</v>
      </c>
      <c r="D132" s="179" t="s">
        <v>981</v>
      </c>
      <c r="E132" s="179" t="s">
        <v>874</v>
      </c>
      <c r="F132" s="179" t="s">
        <v>875</v>
      </c>
      <c r="G132" s="181">
        <v>1</v>
      </c>
      <c r="H132" s="182">
        <v>40529</v>
      </c>
      <c r="I132" s="179" t="s">
        <v>896</v>
      </c>
    </row>
    <row r="133" spans="2:9">
      <c r="B133" s="179">
        <v>301384</v>
      </c>
      <c r="C133" s="180">
        <v>3350</v>
      </c>
      <c r="D133" s="179" t="s">
        <v>982</v>
      </c>
      <c r="E133" s="179" t="s">
        <v>874</v>
      </c>
      <c r="F133" s="179" t="s">
        <v>875</v>
      </c>
      <c r="G133" s="181">
        <v>4</v>
      </c>
      <c r="H133" s="182">
        <v>40540</v>
      </c>
      <c r="I133" s="179" t="s">
        <v>893</v>
      </c>
    </row>
    <row r="134" spans="2:9">
      <c r="B134" s="179">
        <v>113347</v>
      </c>
      <c r="C134" s="180">
        <v>3375</v>
      </c>
      <c r="D134" s="179" t="s">
        <v>983</v>
      </c>
      <c r="E134" s="179" t="s">
        <v>874</v>
      </c>
      <c r="F134" s="179" t="s">
        <v>875</v>
      </c>
      <c r="G134" s="181">
        <v>2</v>
      </c>
      <c r="H134" s="182">
        <v>40529</v>
      </c>
      <c r="I134" s="179" t="s">
        <v>896</v>
      </c>
    </row>
    <row r="135" spans="2:9">
      <c r="B135" s="179">
        <v>398541</v>
      </c>
      <c r="C135" s="180">
        <v>3400</v>
      </c>
      <c r="D135" s="179" t="s">
        <v>984</v>
      </c>
      <c r="E135" s="179" t="s">
        <v>884</v>
      </c>
      <c r="F135" s="179" t="s">
        <v>875</v>
      </c>
      <c r="G135" s="181">
        <v>8</v>
      </c>
      <c r="H135" s="182">
        <v>40540</v>
      </c>
      <c r="I135" s="179" t="s">
        <v>893</v>
      </c>
    </row>
    <row r="136" spans="2:9">
      <c r="B136" s="179">
        <v>288928</v>
      </c>
      <c r="C136" s="180">
        <v>3425</v>
      </c>
      <c r="D136" s="179" t="s">
        <v>985</v>
      </c>
      <c r="E136" s="179" t="s">
        <v>881</v>
      </c>
      <c r="F136" s="179" t="s">
        <v>875</v>
      </c>
      <c r="G136" s="181">
        <v>6</v>
      </c>
      <c r="H136" s="182">
        <v>40529</v>
      </c>
      <c r="I136" s="179" t="s">
        <v>896</v>
      </c>
    </row>
    <row r="137" spans="2:9">
      <c r="B137" s="179">
        <v>775167</v>
      </c>
      <c r="C137" s="180">
        <v>3450</v>
      </c>
      <c r="D137" s="179" t="s">
        <v>986</v>
      </c>
      <c r="E137" s="179" t="s">
        <v>884</v>
      </c>
      <c r="F137" s="179" t="s">
        <v>875</v>
      </c>
      <c r="G137" s="181">
        <v>3</v>
      </c>
      <c r="H137" s="182">
        <v>40532</v>
      </c>
      <c r="I137" s="179" t="s">
        <v>891</v>
      </c>
    </row>
    <row r="138" spans="2:9">
      <c r="B138" s="179">
        <v>775167</v>
      </c>
      <c r="C138" s="180">
        <v>3475</v>
      </c>
      <c r="D138" s="179" t="s">
        <v>986</v>
      </c>
      <c r="E138" s="179" t="s">
        <v>884</v>
      </c>
      <c r="F138" s="179" t="s">
        <v>875</v>
      </c>
      <c r="G138" s="181">
        <v>3</v>
      </c>
      <c r="H138" s="182">
        <v>40529</v>
      </c>
      <c r="I138" s="179" t="s">
        <v>896</v>
      </c>
    </row>
    <row r="139" spans="2:9">
      <c r="B139" s="179">
        <v>775444</v>
      </c>
      <c r="C139" s="180">
        <v>3500</v>
      </c>
      <c r="D139" s="179" t="s">
        <v>969</v>
      </c>
      <c r="E139" s="179" t="s">
        <v>884</v>
      </c>
      <c r="F139" s="179" t="s">
        <v>875</v>
      </c>
      <c r="G139" s="181">
        <v>8</v>
      </c>
      <c r="H139" s="182">
        <v>40541</v>
      </c>
      <c r="I139" s="179" t="s">
        <v>880</v>
      </c>
    </row>
    <row r="140" spans="2:9">
      <c r="B140" s="179">
        <v>775167</v>
      </c>
      <c r="C140" s="180">
        <v>3525</v>
      </c>
      <c r="D140" s="179" t="s">
        <v>986</v>
      </c>
      <c r="E140" s="179" t="s">
        <v>884</v>
      </c>
      <c r="F140" s="179" t="s">
        <v>875</v>
      </c>
      <c r="G140" s="181">
        <v>8</v>
      </c>
      <c r="H140" s="182">
        <v>40533</v>
      </c>
      <c r="I140" s="179" t="s">
        <v>893</v>
      </c>
    </row>
    <row r="141" spans="2:9">
      <c r="B141" s="179">
        <v>775167</v>
      </c>
      <c r="C141" s="180">
        <v>3550</v>
      </c>
      <c r="D141" s="179" t="s">
        <v>986</v>
      </c>
      <c r="E141" s="179" t="s">
        <v>884</v>
      </c>
      <c r="F141" s="179" t="s">
        <v>875</v>
      </c>
      <c r="G141" s="181">
        <v>3</v>
      </c>
      <c r="H141" s="182">
        <v>40534</v>
      </c>
      <c r="I141" s="179" t="s">
        <v>880</v>
      </c>
    </row>
    <row r="142" spans="2:9">
      <c r="B142" s="179">
        <v>775167</v>
      </c>
      <c r="C142" s="180">
        <v>3575</v>
      </c>
      <c r="D142" s="179" t="s">
        <v>986</v>
      </c>
      <c r="E142" s="179" t="s">
        <v>884</v>
      </c>
      <c r="F142" s="179" t="s">
        <v>875</v>
      </c>
      <c r="G142" s="181">
        <v>3</v>
      </c>
      <c r="H142" s="182">
        <v>40540</v>
      </c>
      <c r="I142" s="179" t="s">
        <v>893</v>
      </c>
    </row>
    <row r="143" spans="2:9">
      <c r="B143" s="179">
        <v>775167</v>
      </c>
      <c r="C143" s="180">
        <v>3600</v>
      </c>
      <c r="D143" s="179" t="s">
        <v>986</v>
      </c>
      <c r="E143" s="179" t="s">
        <v>884</v>
      </c>
      <c r="F143" s="179" t="s">
        <v>875</v>
      </c>
      <c r="G143" s="181">
        <v>3</v>
      </c>
      <c r="H143" s="182">
        <v>40541</v>
      </c>
      <c r="I143" s="179" t="s">
        <v>880</v>
      </c>
    </row>
    <row r="144" spans="2:9">
      <c r="B144" s="179">
        <v>130559</v>
      </c>
      <c r="C144" s="180">
        <v>3625</v>
      </c>
      <c r="D144" s="179" t="s">
        <v>987</v>
      </c>
      <c r="E144" s="179" t="s">
        <v>874</v>
      </c>
      <c r="F144" s="179" t="s">
        <v>875</v>
      </c>
      <c r="G144" s="181">
        <v>2</v>
      </c>
      <c r="H144" s="182">
        <v>40534</v>
      </c>
      <c r="I144" s="179" t="s">
        <v>880</v>
      </c>
    </row>
    <row r="145" spans="2:9">
      <c r="B145" s="179">
        <v>437881</v>
      </c>
      <c r="C145" s="180">
        <v>3650</v>
      </c>
      <c r="D145" s="179" t="s">
        <v>988</v>
      </c>
      <c r="E145" s="179" t="s">
        <v>874</v>
      </c>
      <c r="F145" s="179" t="s">
        <v>875</v>
      </c>
      <c r="G145" s="181">
        <v>3.5</v>
      </c>
      <c r="H145" s="182">
        <v>40532</v>
      </c>
      <c r="I145" s="179" t="s">
        <v>891</v>
      </c>
    </row>
    <row r="146" spans="2:9">
      <c r="B146" s="179">
        <v>641295</v>
      </c>
      <c r="C146" s="180">
        <v>3675</v>
      </c>
      <c r="D146" s="179" t="s">
        <v>989</v>
      </c>
      <c r="E146" s="179" t="s">
        <v>874</v>
      </c>
      <c r="F146" s="179" t="s">
        <v>875</v>
      </c>
      <c r="G146" s="181">
        <v>3</v>
      </c>
      <c r="H146" s="182">
        <v>40529</v>
      </c>
      <c r="I146" s="179" t="s">
        <v>896</v>
      </c>
    </row>
    <row r="147" spans="2:9">
      <c r="B147" s="179">
        <v>371859</v>
      </c>
      <c r="C147" s="180">
        <v>3700</v>
      </c>
      <c r="D147" s="179" t="s">
        <v>990</v>
      </c>
      <c r="E147" s="179" t="s">
        <v>884</v>
      </c>
      <c r="F147" s="179" t="s">
        <v>875</v>
      </c>
      <c r="G147" s="181">
        <v>4</v>
      </c>
      <c r="H147" s="182">
        <v>40533</v>
      </c>
      <c r="I147" s="179" t="s">
        <v>893</v>
      </c>
    </row>
    <row r="148" spans="2:9">
      <c r="B148" s="179">
        <v>371859</v>
      </c>
      <c r="C148" s="180">
        <v>3725</v>
      </c>
      <c r="D148" s="179" t="s">
        <v>990</v>
      </c>
      <c r="E148" s="179" t="s">
        <v>884</v>
      </c>
      <c r="F148" s="179" t="s">
        <v>875</v>
      </c>
      <c r="G148" s="181">
        <v>2</v>
      </c>
      <c r="H148" s="182">
        <v>40534</v>
      </c>
      <c r="I148" s="179" t="s">
        <v>880</v>
      </c>
    </row>
    <row r="149" spans="2:9">
      <c r="B149" s="179">
        <v>245734</v>
      </c>
      <c r="C149" s="180">
        <v>3750</v>
      </c>
      <c r="D149" s="179" t="s">
        <v>991</v>
      </c>
      <c r="E149" s="179" t="s">
        <v>884</v>
      </c>
      <c r="F149" s="179" t="s">
        <v>875</v>
      </c>
      <c r="G149" s="181">
        <v>8</v>
      </c>
      <c r="H149" s="182">
        <v>40541</v>
      </c>
      <c r="I149" s="179" t="s">
        <v>880</v>
      </c>
    </row>
    <row r="150" spans="2:9">
      <c r="B150" s="179">
        <v>569961</v>
      </c>
      <c r="C150" s="180">
        <v>3775</v>
      </c>
      <c r="D150" s="179" t="s">
        <v>992</v>
      </c>
      <c r="E150" s="179" t="s">
        <v>874</v>
      </c>
      <c r="F150" s="179" t="s">
        <v>875</v>
      </c>
      <c r="G150" s="181">
        <v>1</v>
      </c>
      <c r="H150" s="182">
        <v>40546</v>
      </c>
      <c r="I150" s="179" t="s">
        <v>891</v>
      </c>
    </row>
    <row r="151" spans="2:9">
      <c r="B151" s="179">
        <v>245734</v>
      </c>
      <c r="C151" s="180">
        <v>3800</v>
      </c>
      <c r="D151" s="179" t="s">
        <v>991</v>
      </c>
      <c r="E151" s="179" t="s">
        <v>884</v>
      </c>
      <c r="F151" s="179" t="s">
        <v>875</v>
      </c>
      <c r="G151" s="181">
        <v>8</v>
      </c>
      <c r="H151" s="182">
        <v>40540</v>
      </c>
      <c r="I151" s="179" t="s">
        <v>893</v>
      </c>
    </row>
    <row r="152" spans="2:9">
      <c r="B152" s="179">
        <v>545521</v>
      </c>
      <c r="C152" s="180">
        <v>3825</v>
      </c>
      <c r="D152" s="179" t="s">
        <v>968</v>
      </c>
      <c r="E152" s="179" t="s">
        <v>884</v>
      </c>
      <c r="F152" s="179" t="s">
        <v>875</v>
      </c>
      <c r="G152" s="181">
        <v>2</v>
      </c>
      <c r="H152" s="182">
        <v>40540</v>
      </c>
      <c r="I152" s="179" t="s">
        <v>893</v>
      </c>
    </row>
    <row r="153" spans="2:9">
      <c r="B153" s="179">
        <v>115195</v>
      </c>
      <c r="C153" s="180">
        <v>3850</v>
      </c>
      <c r="D153" s="179" t="s">
        <v>967</v>
      </c>
      <c r="E153" s="179" t="s">
        <v>874</v>
      </c>
      <c r="F153" s="179" t="s">
        <v>875</v>
      </c>
      <c r="G153" s="181">
        <v>0.5</v>
      </c>
      <c r="H153" s="182">
        <v>40541</v>
      </c>
      <c r="I153" s="179" t="s">
        <v>880</v>
      </c>
    </row>
    <row r="154" spans="2:9">
      <c r="B154" s="179">
        <v>798649</v>
      </c>
      <c r="C154" s="180">
        <v>3875</v>
      </c>
      <c r="D154" s="179" t="s">
        <v>993</v>
      </c>
      <c r="E154" s="179" t="s">
        <v>874</v>
      </c>
      <c r="F154" s="179" t="s">
        <v>875</v>
      </c>
      <c r="G154" s="181">
        <v>3.5</v>
      </c>
      <c r="H154" s="182">
        <v>40529</v>
      </c>
      <c r="I154" s="179" t="s">
        <v>896</v>
      </c>
    </row>
    <row r="155" spans="2:9">
      <c r="B155" s="179">
        <v>747126</v>
      </c>
      <c r="C155" s="180">
        <v>3900</v>
      </c>
      <c r="D155" s="179" t="s">
        <v>994</v>
      </c>
      <c r="E155" s="179" t="s">
        <v>881</v>
      </c>
      <c r="F155" s="179" t="s">
        <v>875</v>
      </c>
      <c r="G155" s="181">
        <v>8</v>
      </c>
      <c r="H155" s="182">
        <v>40540</v>
      </c>
      <c r="I155" s="179" t="s">
        <v>893</v>
      </c>
    </row>
    <row r="156" spans="2:9">
      <c r="B156" s="179">
        <v>739647</v>
      </c>
      <c r="C156" s="180">
        <v>3925</v>
      </c>
      <c r="D156" s="179" t="s">
        <v>995</v>
      </c>
      <c r="E156" s="179" t="s">
        <v>874</v>
      </c>
      <c r="F156" s="179" t="s">
        <v>875</v>
      </c>
      <c r="G156" s="181">
        <v>2</v>
      </c>
      <c r="H156" s="182">
        <v>40541</v>
      </c>
      <c r="I156" s="179" t="s">
        <v>880</v>
      </c>
    </row>
    <row r="157" spans="2:9">
      <c r="B157" s="179">
        <v>292456</v>
      </c>
      <c r="C157" s="180">
        <v>3950</v>
      </c>
      <c r="D157" s="179" t="s">
        <v>996</v>
      </c>
      <c r="E157" s="179" t="s">
        <v>881</v>
      </c>
      <c r="F157" s="179" t="s">
        <v>875</v>
      </c>
      <c r="G157" s="181">
        <v>0.5</v>
      </c>
      <c r="H157" s="182">
        <v>40534</v>
      </c>
      <c r="I157" s="179" t="s">
        <v>880</v>
      </c>
    </row>
    <row r="158" spans="2:9">
      <c r="B158" s="179">
        <v>425584</v>
      </c>
      <c r="C158" s="180">
        <v>3975</v>
      </c>
      <c r="D158" s="179" t="s">
        <v>997</v>
      </c>
      <c r="E158" s="179" t="s">
        <v>874</v>
      </c>
      <c r="F158" s="179" t="s">
        <v>875</v>
      </c>
      <c r="G158" s="181">
        <v>8</v>
      </c>
      <c r="H158" s="182">
        <v>40540</v>
      </c>
      <c r="I158" s="179" t="s">
        <v>893</v>
      </c>
    </row>
    <row r="159" spans="2:9">
      <c r="B159" s="179">
        <v>872321</v>
      </c>
      <c r="C159" s="180">
        <v>4000</v>
      </c>
      <c r="D159" s="179" t="s">
        <v>998</v>
      </c>
      <c r="E159" s="179" t="s">
        <v>874</v>
      </c>
      <c r="F159" s="179" t="s">
        <v>875</v>
      </c>
      <c r="G159" s="181">
        <v>1.75</v>
      </c>
      <c r="H159" s="182">
        <v>40534</v>
      </c>
      <c r="I159" s="179" t="s">
        <v>880</v>
      </c>
    </row>
    <row r="160" spans="2:9">
      <c r="B160" s="179">
        <v>261528</v>
      </c>
      <c r="C160" s="180">
        <v>4025</v>
      </c>
      <c r="D160" s="179" t="s">
        <v>890</v>
      </c>
      <c r="E160" s="179" t="s">
        <v>884</v>
      </c>
      <c r="F160" s="179" t="s">
        <v>875</v>
      </c>
      <c r="G160" s="181">
        <v>8</v>
      </c>
      <c r="H160" s="182">
        <v>40529</v>
      </c>
      <c r="I160" s="179" t="s">
        <v>896</v>
      </c>
    </row>
    <row r="161" spans="2:9">
      <c r="B161" s="179">
        <v>280348</v>
      </c>
      <c r="C161" s="180">
        <v>4050</v>
      </c>
      <c r="D161" s="179" t="s">
        <v>999</v>
      </c>
      <c r="E161" s="179" t="s">
        <v>884</v>
      </c>
      <c r="F161" s="179" t="s">
        <v>875</v>
      </c>
      <c r="G161" s="181">
        <v>8</v>
      </c>
      <c r="H161" s="182">
        <v>40533</v>
      </c>
      <c r="I161" s="179" t="s">
        <v>893</v>
      </c>
    </row>
    <row r="162" spans="2:9">
      <c r="B162" s="179">
        <v>515931</v>
      </c>
      <c r="C162" s="180">
        <v>4075</v>
      </c>
      <c r="D162" s="179" t="s">
        <v>1000</v>
      </c>
      <c r="E162" s="179" t="s">
        <v>884</v>
      </c>
      <c r="F162" s="179" t="s">
        <v>875</v>
      </c>
      <c r="G162" s="181">
        <v>8</v>
      </c>
      <c r="H162" s="182">
        <v>40535</v>
      </c>
      <c r="I162" s="179" t="s">
        <v>876</v>
      </c>
    </row>
    <row r="163" spans="2:9">
      <c r="B163" s="179">
        <v>515931</v>
      </c>
      <c r="C163" s="180">
        <v>4100</v>
      </c>
      <c r="D163" s="179" t="s">
        <v>1000</v>
      </c>
      <c r="E163" s="179" t="s">
        <v>884</v>
      </c>
      <c r="F163" s="179" t="s">
        <v>875</v>
      </c>
      <c r="G163" s="181">
        <v>8</v>
      </c>
      <c r="H163" s="182">
        <v>40540</v>
      </c>
      <c r="I163" s="179" t="s">
        <v>893</v>
      </c>
    </row>
    <row r="164" spans="2:9">
      <c r="B164" s="179">
        <v>515931</v>
      </c>
      <c r="C164" s="180">
        <v>4125</v>
      </c>
      <c r="D164" s="179" t="s">
        <v>1000</v>
      </c>
      <c r="E164" s="179" t="s">
        <v>884</v>
      </c>
      <c r="F164" s="179" t="s">
        <v>875</v>
      </c>
      <c r="G164" s="181">
        <v>8</v>
      </c>
      <c r="H164" s="182">
        <v>40541</v>
      </c>
      <c r="I164" s="179" t="s">
        <v>880</v>
      </c>
    </row>
    <row r="165" spans="2:9">
      <c r="B165" s="179">
        <v>515931</v>
      </c>
      <c r="C165" s="180">
        <v>4150</v>
      </c>
      <c r="D165" s="179" t="s">
        <v>1000</v>
      </c>
      <c r="E165" s="179" t="s">
        <v>884</v>
      </c>
      <c r="F165" s="179" t="s">
        <v>875</v>
      </c>
      <c r="G165" s="181">
        <v>8</v>
      </c>
      <c r="H165" s="182">
        <v>40542</v>
      </c>
      <c r="I165" s="179" t="s">
        <v>876</v>
      </c>
    </row>
    <row r="166" spans="2:9">
      <c r="B166" s="179">
        <v>170542</v>
      </c>
      <c r="C166" s="180">
        <v>4175</v>
      </c>
      <c r="D166" s="179" t="s">
        <v>1001</v>
      </c>
      <c r="E166" s="179" t="s">
        <v>884</v>
      </c>
      <c r="F166" s="179" t="s">
        <v>875</v>
      </c>
      <c r="G166" s="181">
        <v>8</v>
      </c>
      <c r="H166" s="182">
        <v>40533</v>
      </c>
      <c r="I166" s="179" t="s">
        <v>893</v>
      </c>
    </row>
    <row r="167" spans="2:9">
      <c r="B167" s="179">
        <v>170542</v>
      </c>
      <c r="C167" s="180">
        <v>4200</v>
      </c>
      <c r="D167" s="179" t="s">
        <v>1001</v>
      </c>
      <c r="E167" s="179" t="s">
        <v>884</v>
      </c>
      <c r="F167" s="179" t="s">
        <v>875</v>
      </c>
      <c r="G167" s="181">
        <v>4</v>
      </c>
      <c r="H167" s="182">
        <v>40532</v>
      </c>
      <c r="I167" s="179" t="s">
        <v>891</v>
      </c>
    </row>
    <row r="168" spans="2:9">
      <c r="B168" s="179">
        <v>99193</v>
      </c>
      <c r="C168" s="180">
        <v>4225</v>
      </c>
      <c r="D168" s="179" t="s">
        <v>973</v>
      </c>
      <c r="E168" s="179" t="s">
        <v>884</v>
      </c>
      <c r="F168" s="179" t="s">
        <v>875</v>
      </c>
      <c r="G168" s="181">
        <v>6.75</v>
      </c>
      <c r="H168" s="182">
        <v>40529</v>
      </c>
      <c r="I168" s="179" t="s">
        <v>896</v>
      </c>
    </row>
    <row r="169" spans="2:9">
      <c r="B169" s="179">
        <v>682726</v>
      </c>
      <c r="C169" s="180">
        <v>4250</v>
      </c>
      <c r="D169" s="179" t="s">
        <v>894</v>
      </c>
      <c r="E169" s="179" t="s">
        <v>874</v>
      </c>
      <c r="F169" s="179" t="s">
        <v>875</v>
      </c>
      <c r="G169" s="181">
        <v>2</v>
      </c>
      <c r="H169" s="182">
        <v>40541</v>
      </c>
      <c r="I169" s="179" t="s">
        <v>880</v>
      </c>
    </row>
    <row r="170" spans="2:9">
      <c r="B170" s="179">
        <v>689074</v>
      </c>
      <c r="C170" s="180">
        <v>4275</v>
      </c>
      <c r="D170" s="179" t="s">
        <v>948</v>
      </c>
      <c r="E170" s="179" t="s">
        <v>884</v>
      </c>
      <c r="F170" s="179" t="s">
        <v>875</v>
      </c>
      <c r="G170" s="181">
        <v>-8</v>
      </c>
      <c r="H170" s="182">
        <v>40540</v>
      </c>
      <c r="I170" s="179" t="s">
        <v>893</v>
      </c>
    </row>
    <row r="171" spans="2:9">
      <c r="B171" s="179">
        <v>689074</v>
      </c>
      <c r="C171" s="180">
        <v>4300</v>
      </c>
      <c r="D171" s="179" t="s">
        <v>948</v>
      </c>
      <c r="E171" s="179" t="s">
        <v>884</v>
      </c>
      <c r="F171" s="179" t="s">
        <v>875</v>
      </c>
      <c r="G171" s="181">
        <v>8</v>
      </c>
      <c r="H171" s="182">
        <v>40540</v>
      </c>
      <c r="I171" s="179" t="s">
        <v>893</v>
      </c>
    </row>
    <row r="172" spans="2:9">
      <c r="B172" s="179">
        <v>689074</v>
      </c>
      <c r="C172" s="180">
        <v>4325</v>
      </c>
      <c r="D172" s="179" t="s">
        <v>948</v>
      </c>
      <c r="E172" s="179" t="s">
        <v>884</v>
      </c>
      <c r="F172" s="179" t="s">
        <v>875</v>
      </c>
      <c r="G172" s="181">
        <v>-8</v>
      </c>
      <c r="H172" s="182">
        <v>40541</v>
      </c>
      <c r="I172" s="179" t="s">
        <v>880</v>
      </c>
    </row>
    <row r="173" spans="2:9">
      <c r="B173" s="179">
        <v>689074</v>
      </c>
      <c r="C173" s="180">
        <v>4350</v>
      </c>
      <c r="D173" s="179" t="s">
        <v>948</v>
      </c>
      <c r="E173" s="179" t="s">
        <v>884</v>
      </c>
      <c r="F173" s="179" t="s">
        <v>875</v>
      </c>
      <c r="G173" s="181">
        <v>8</v>
      </c>
      <c r="H173" s="182">
        <v>40541</v>
      </c>
      <c r="I173" s="179" t="s">
        <v>880</v>
      </c>
    </row>
    <row r="174" spans="2:9">
      <c r="B174" s="179">
        <v>689074</v>
      </c>
      <c r="C174" s="180">
        <v>4375</v>
      </c>
      <c r="D174" s="179" t="s">
        <v>948</v>
      </c>
      <c r="E174" s="179" t="s">
        <v>884</v>
      </c>
      <c r="F174" s="179" t="s">
        <v>875</v>
      </c>
      <c r="G174" s="181">
        <v>-8</v>
      </c>
      <c r="H174" s="182">
        <v>40542</v>
      </c>
      <c r="I174" s="179" t="s">
        <v>876</v>
      </c>
    </row>
    <row r="175" spans="2:9">
      <c r="B175" s="179">
        <v>689074</v>
      </c>
      <c r="C175" s="180">
        <v>4400</v>
      </c>
      <c r="D175" s="179" t="s">
        <v>948</v>
      </c>
      <c r="E175" s="179" t="s">
        <v>884</v>
      </c>
      <c r="F175" s="179" t="s">
        <v>875</v>
      </c>
      <c r="G175" s="181">
        <v>8</v>
      </c>
      <c r="H175" s="182">
        <v>40542</v>
      </c>
      <c r="I175" s="179" t="s">
        <v>876</v>
      </c>
    </row>
    <row r="176" spans="2:9">
      <c r="B176" s="179">
        <v>609303</v>
      </c>
      <c r="C176" s="180">
        <v>4425</v>
      </c>
      <c r="D176" s="179" t="s">
        <v>949</v>
      </c>
      <c r="E176" s="179" t="s">
        <v>884</v>
      </c>
      <c r="F176" s="179" t="s">
        <v>875</v>
      </c>
      <c r="G176" s="181">
        <v>8</v>
      </c>
      <c r="H176" s="182">
        <v>40540</v>
      </c>
      <c r="I176" s="179" t="s">
        <v>893</v>
      </c>
    </row>
    <row r="177" spans="2:9">
      <c r="B177" s="179">
        <v>609303</v>
      </c>
      <c r="C177" s="180">
        <v>4450</v>
      </c>
      <c r="D177" s="179" t="s">
        <v>949</v>
      </c>
      <c r="E177" s="179" t="s">
        <v>884</v>
      </c>
      <c r="F177" s="179" t="s">
        <v>875</v>
      </c>
      <c r="G177" s="181">
        <v>-8</v>
      </c>
      <c r="H177" s="182">
        <v>40540</v>
      </c>
      <c r="I177" s="179" t="s">
        <v>893</v>
      </c>
    </row>
    <row r="178" spans="2:9">
      <c r="B178" s="179">
        <v>112940</v>
      </c>
      <c r="C178" s="180">
        <v>4475</v>
      </c>
      <c r="D178" s="179" t="s">
        <v>1002</v>
      </c>
      <c r="E178" s="179" t="s">
        <v>884</v>
      </c>
      <c r="F178" s="179" t="s">
        <v>875</v>
      </c>
      <c r="G178" s="181">
        <v>8</v>
      </c>
      <c r="H178" s="182">
        <v>40548</v>
      </c>
      <c r="I178" s="179" t="s">
        <v>880</v>
      </c>
    </row>
    <row r="179" spans="2:9">
      <c r="B179" s="179">
        <v>112940</v>
      </c>
      <c r="C179" s="180">
        <v>4500</v>
      </c>
      <c r="D179" s="179" t="s">
        <v>1002</v>
      </c>
      <c r="E179" s="179" t="s">
        <v>874</v>
      </c>
      <c r="F179" s="179" t="s">
        <v>875</v>
      </c>
      <c r="G179" s="181">
        <v>3.5</v>
      </c>
      <c r="H179" s="182">
        <v>40550</v>
      </c>
      <c r="I179" s="179" t="s">
        <v>896</v>
      </c>
    </row>
    <row r="180" spans="2:9">
      <c r="B180" s="179">
        <v>389844</v>
      </c>
      <c r="C180" s="180">
        <v>4525</v>
      </c>
      <c r="D180" s="179" t="s">
        <v>930</v>
      </c>
      <c r="E180" s="179" t="s">
        <v>874</v>
      </c>
      <c r="F180" s="179" t="s">
        <v>875</v>
      </c>
      <c r="G180" s="181">
        <v>1.75</v>
      </c>
      <c r="H180" s="182">
        <v>40555</v>
      </c>
      <c r="I180" s="179" t="s">
        <v>880</v>
      </c>
    </row>
    <row r="181" spans="2:9">
      <c r="B181" s="179">
        <v>389844</v>
      </c>
      <c r="C181" s="180">
        <v>4550</v>
      </c>
      <c r="D181" s="179" t="s">
        <v>930</v>
      </c>
      <c r="E181" s="179" t="s">
        <v>874</v>
      </c>
      <c r="F181" s="179" t="s">
        <v>875</v>
      </c>
      <c r="G181" s="181">
        <v>2</v>
      </c>
      <c r="H181" s="182">
        <v>40557</v>
      </c>
      <c r="I181" s="179" t="s">
        <v>896</v>
      </c>
    </row>
    <row r="182" spans="2:9">
      <c r="B182" s="179">
        <v>389844</v>
      </c>
      <c r="C182" s="180">
        <v>4575</v>
      </c>
      <c r="D182" s="179" t="s">
        <v>930</v>
      </c>
      <c r="E182" s="179" t="s">
        <v>874</v>
      </c>
      <c r="F182" s="179" t="s">
        <v>875</v>
      </c>
      <c r="G182" s="181">
        <v>2</v>
      </c>
      <c r="H182" s="182">
        <v>40548</v>
      </c>
      <c r="I182" s="179" t="s">
        <v>880</v>
      </c>
    </row>
    <row r="183" spans="2:9">
      <c r="B183" s="179">
        <v>112940</v>
      </c>
      <c r="C183" s="180">
        <v>4600</v>
      </c>
      <c r="D183" s="179" t="s">
        <v>1002</v>
      </c>
      <c r="E183" s="179" t="s">
        <v>884</v>
      </c>
      <c r="F183" s="179" t="s">
        <v>875</v>
      </c>
      <c r="G183" s="181">
        <v>8</v>
      </c>
      <c r="H183" s="182">
        <v>40546</v>
      </c>
      <c r="I183" s="179" t="s">
        <v>891</v>
      </c>
    </row>
    <row r="184" spans="2:9">
      <c r="B184" s="179">
        <v>112940</v>
      </c>
      <c r="C184" s="180">
        <v>4625</v>
      </c>
      <c r="D184" s="179" t="s">
        <v>1002</v>
      </c>
      <c r="E184" s="179" t="s">
        <v>884</v>
      </c>
      <c r="F184" s="179" t="s">
        <v>875</v>
      </c>
      <c r="G184" s="181">
        <v>8</v>
      </c>
      <c r="H184" s="182">
        <v>40547</v>
      </c>
      <c r="I184" s="179" t="s">
        <v>893</v>
      </c>
    </row>
    <row r="185" spans="2:9">
      <c r="B185" s="179">
        <v>402483</v>
      </c>
      <c r="C185" s="180">
        <v>4650</v>
      </c>
      <c r="D185" s="179" t="s">
        <v>1003</v>
      </c>
      <c r="E185" s="179" t="s">
        <v>874</v>
      </c>
      <c r="F185" s="179" t="s">
        <v>875</v>
      </c>
      <c r="G185" s="181">
        <v>1</v>
      </c>
      <c r="H185" s="182">
        <v>40546</v>
      </c>
      <c r="I185" s="179" t="s">
        <v>891</v>
      </c>
    </row>
    <row r="186" spans="2:9">
      <c r="B186" s="179">
        <v>625135</v>
      </c>
      <c r="C186" s="180">
        <v>4675</v>
      </c>
      <c r="D186" s="179" t="s">
        <v>924</v>
      </c>
      <c r="E186" s="179" t="s">
        <v>874</v>
      </c>
      <c r="F186" s="179" t="s">
        <v>875</v>
      </c>
      <c r="G186" s="181">
        <v>8</v>
      </c>
      <c r="H186" s="182">
        <v>40548</v>
      </c>
      <c r="I186" s="179" t="s">
        <v>880</v>
      </c>
    </row>
    <row r="187" spans="2:9">
      <c r="B187" s="179">
        <v>5435</v>
      </c>
      <c r="C187" s="180">
        <v>4700</v>
      </c>
      <c r="D187" s="179" t="s">
        <v>1004</v>
      </c>
      <c r="E187" s="179" t="s">
        <v>881</v>
      </c>
      <c r="F187" s="179" t="s">
        <v>875</v>
      </c>
      <c r="G187" s="181">
        <v>2.5</v>
      </c>
      <c r="H187" s="182">
        <v>40549</v>
      </c>
      <c r="I187" s="179" t="s">
        <v>876</v>
      </c>
    </row>
    <row r="188" spans="2:9">
      <c r="B188" s="179">
        <v>798649</v>
      </c>
      <c r="C188" s="180">
        <v>4725</v>
      </c>
      <c r="D188" s="179" t="s">
        <v>993</v>
      </c>
      <c r="E188" s="179" t="s">
        <v>881</v>
      </c>
      <c r="F188" s="179" t="s">
        <v>875</v>
      </c>
      <c r="G188" s="181">
        <v>1.5</v>
      </c>
      <c r="H188" s="182">
        <v>40549</v>
      </c>
      <c r="I188" s="179" t="s">
        <v>876</v>
      </c>
    </row>
    <row r="189" spans="2:9">
      <c r="B189" s="179">
        <v>113347</v>
      </c>
      <c r="C189" s="180">
        <v>4750</v>
      </c>
      <c r="D189" s="179" t="s">
        <v>983</v>
      </c>
      <c r="E189" s="179" t="s">
        <v>881</v>
      </c>
      <c r="F189" s="179" t="s">
        <v>875</v>
      </c>
      <c r="G189" s="181">
        <v>1.5</v>
      </c>
      <c r="H189" s="182">
        <v>40548</v>
      </c>
      <c r="I189" s="179" t="s">
        <v>880</v>
      </c>
    </row>
    <row r="190" spans="2:9">
      <c r="B190" s="179">
        <v>596745</v>
      </c>
      <c r="C190" s="180">
        <v>4775</v>
      </c>
      <c r="D190" s="179" t="s">
        <v>1005</v>
      </c>
      <c r="E190" s="179" t="s">
        <v>884</v>
      </c>
      <c r="F190" s="179" t="s">
        <v>875</v>
      </c>
      <c r="G190" s="181">
        <v>8</v>
      </c>
      <c r="H190" s="182">
        <v>40548</v>
      </c>
      <c r="I190" s="179" t="s">
        <v>880</v>
      </c>
    </row>
    <row r="191" spans="2:9">
      <c r="B191" s="179">
        <v>596745</v>
      </c>
      <c r="C191" s="180">
        <v>4800</v>
      </c>
      <c r="D191" s="179" t="s">
        <v>1005</v>
      </c>
      <c r="E191" s="179" t="s">
        <v>874</v>
      </c>
      <c r="F191" s="179" t="s">
        <v>875</v>
      </c>
      <c r="G191" s="181">
        <v>0.75</v>
      </c>
      <c r="H191" s="182">
        <v>40556</v>
      </c>
      <c r="I191" s="179" t="s">
        <v>876</v>
      </c>
    </row>
    <row r="192" spans="2:9">
      <c r="B192" s="179">
        <v>846953</v>
      </c>
      <c r="C192" s="180">
        <v>4825</v>
      </c>
      <c r="D192" s="179" t="s">
        <v>1006</v>
      </c>
      <c r="E192" s="179" t="s">
        <v>884</v>
      </c>
      <c r="F192" s="179" t="s">
        <v>875</v>
      </c>
      <c r="G192" s="181">
        <v>3</v>
      </c>
      <c r="H192" s="182">
        <v>40553</v>
      </c>
      <c r="I192" s="179" t="s">
        <v>891</v>
      </c>
    </row>
    <row r="193" spans="2:9">
      <c r="B193" s="179">
        <v>138199</v>
      </c>
      <c r="C193" s="180">
        <v>4850</v>
      </c>
      <c r="D193" s="179" t="s">
        <v>1007</v>
      </c>
      <c r="E193" s="179" t="s">
        <v>881</v>
      </c>
      <c r="F193" s="179" t="s">
        <v>875</v>
      </c>
      <c r="G193" s="181">
        <v>8</v>
      </c>
      <c r="H193" s="182">
        <v>40546</v>
      </c>
      <c r="I193" s="179" t="s">
        <v>891</v>
      </c>
    </row>
    <row r="194" spans="2:9">
      <c r="B194" s="179">
        <v>138199</v>
      </c>
      <c r="C194" s="180">
        <v>4875</v>
      </c>
      <c r="D194" s="179" t="s">
        <v>1007</v>
      </c>
      <c r="E194" s="179" t="s">
        <v>874</v>
      </c>
      <c r="F194" s="179" t="s">
        <v>875</v>
      </c>
      <c r="G194" s="181">
        <v>1</v>
      </c>
      <c r="H194" s="182">
        <v>40549</v>
      </c>
      <c r="I194" s="179" t="s">
        <v>876</v>
      </c>
    </row>
    <row r="195" spans="2:9">
      <c r="B195" s="179">
        <v>138199</v>
      </c>
      <c r="C195" s="180">
        <v>4900</v>
      </c>
      <c r="D195" s="179" t="s">
        <v>1007</v>
      </c>
      <c r="E195" s="179" t="s">
        <v>874</v>
      </c>
      <c r="F195" s="179" t="s">
        <v>875</v>
      </c>
      <c r="G195" s="181">
        <v>0.75</v>
      </c>
      <c r="H195" s="182">
        <v>40553</v>
      </c>
      <c r="I195" s="179" t="s">
        <v>891</v>
      </c>
    </row>
    <row r="196" spans="2:9">
      <c r="B196" s="179">
        <v>747126</v>
      </c>
      <c r="C196" s="180">
        <v>4925</v>
      </c>
      <c r="D196" s="179" t="s">
        <v>994</v>
      </c>
      <c r="E196" s="179" t="s">
        <v>874</v>
      </c>
      <c r="F196" s="179" t="s">
        <v>875</v>
      </c>
      <c r="G196" s="181">
        <v>2</v>
      </c>
      <c r="H196" s="182">
        <v>40554</v>
      </c>
      <c r="I196" s="179" t="s">
        <v>893</v>
      </c>
    </row>
    <row r="197" spans="2:9">
      <c r="B197" s="179">
        <v>375792</v>
      </c>
      <c r="C197" s="180">
        <v>4950</v>
      </c>
      <c r="D197" s="179" t="s">
        <v>928</v>
      </c>
      <c r="E197" s="179" t="s">
        <v>874</v>
      </c>
      <c r="F197" s="179" t="s">
        <v>875</v>
      </c>
      <c r="G197" s="181">
        <v>2</v>
      </c>
      <c r="H197" s="182">
        <v>40550</v>
      </c>
      <c r="I197" s="179" t="s">
        <v>896</v>
      </c>
    </row>
    <row r="198" spans="2:9">
      <c r="B198" s="179">
        <v>471981</v>
      </c>
      <c r="C198" s="180">
        <v>4975</v>
      </c>
      <c r="D198" s="179" t="s">
        <v>1008</v>
      </c>
      <c r="E198" s="179" t="s">
        <v>874</v>
      </c>
      <c r="F198" s="179" t="s">
        <v>875</v>
      </c>
      <c r="G198" s="181">
        <v>3.5</v>
      </c>
      <c r="H198" s="182">
        <v>40553</v>
      </c>
      <c r="I198" s="179" t="s">
        <v>891</v>
      </c>
    </row>
    <row r="199" spans="2:9">
      <c r="B199" s="179">
        <v>942722</v>
      </c>
      <c r="C199" s="180">
        <v>5000</v>
      </c>
      <c r="D199" s="179" t="s">
        <v>943</v>
      </c>
      <c r="E199" s="179" t="s">
        <v>884</v>
      </c>
      <c r="F199" s="179" t="s">
        <v>875</v>
      </c>
      <c r="G199" s="181">
        <v>8</v>
      </c>
      <c r="H199" s="182">
        <v>40546</v>
      </c>
      <c r="I199" s="179" t="s">
        <v>891</v>
      </c>
    </row>
    <row r="200" spans="2:9">
      <c r="B200" s="179">
        <v>942722</v>
      </c>
      <c r="C200" s="180">
        <v>5025</v>
      </c>
      <c r="D200" s="179" t="s">
        <v>943</v>
      </c>
      <c r="E200" s="179" t="s">
        <v>884</v>
      </c>
      <c r="F200" s="179" t="s">
        <v>875</v>
      </c>
      <c r="G200" s="181">
        <v>8</v>
      </c>
      <c r="H200" s="182">
        <v>40547</v>
      </c>
      <c r="I200" s="179" t="s">
        <v>893</v>
      </c>
    </row>
    <row r="201" spans="2:9">
      <c r="B201" s="179">
        <v>942722</v>
      </c>
      <c r="C201" s="180">
        <v>5050</v>
      </c>
      <c r="D201" s="179" t="s">
        <v>943</v>
      </c>
      <c r="E201" s="179" t="s">
        <v>884</v>
      </c>
      <c r="F201" s="179" t="s">
        <v>875</v>
      </c>
      <c r="G201" s="181">
        <v>8</v>
      </c>
      <c r="H201" s="182">
        <v>40548</v>
      </c>
      <c r="I201" s="179" t="s">
        <v>880</v>
      </c>
    </row>
    <row r="202" spans="2:9">
      <c r="B202" s="179">
        <v>942722</v>
      </c>
      <c r="C202" s="180">
        <v>5075</v>
      </c>
      <c r="D202" s="179" t="s">
        <v>943</v>
      </c>
      <c r="E202" s="179" t="s">
        <v>884</v>
      </c>
      <c r="F202" s="179" t="s">
        <v>875</v>
      </c>
      <c r="G202" s="181">
        <v>8</v>
      </c>
      <c r="H202" s="182">
        <v>40549</v>
      </c>
      <c r="I202" s="179" t="s">
        <v>876</v>
      </c>
    </row>
    <row r="203" spans="2:9">
      <c r="B203" s="179">
        <v>942722</v>
      </c>
      <c r="C203" s="180">
        <v>5100</v>
      </c>
      <c r="D203" s="179" t="s">
        <v>943</v>
      </c>
      <c r="E203" s="179" t="s">
        <v>884</v>
      </c>
      <c r="F203" s="179" t="s">
        <v>875</v>
      </c>
      <c r="G203" s="181">
        <v>8</v>
      </c>
      <c r="H203" s="182">
        <v>40550</v>
      </c>
      <c r="I203" s="179" t="s">
        <v>896</v>
      </c>
    </row>
    <row r="204" spans="2:9">
      <c r="B204" s="179">
        <v>544430</v>
      </c>
      <c r="C204" s="180">
        <v>5125</v>
      </c>
      <c r="D204" s="179" t="s">
        <v>1009</v>
      </c>
      <c r="E204" s="179" t="s">
        <v>884</v>
      </c>
      <c r="F204" s="179" t="s">
        <v>875</v>
      </c>
      <c r="G204" s="181">
        <v>1.5</v>
      </c>
      <c r="H204" s="182">
        <v>40553</v>
      </c>
      <c r="I204" s="179" t="s">
        <v>891</v>
      </c>
    </row>
    <row r="205" spans="2:9">
      <c r="B205" s="179">
        <v>904174</v>
      </c>
      <c r="C205" s="180">
        <v>5150</v>
      </c>
      <c r="D205" s="179" t="s">
        <v>886</v>
      </c>
      <c r="E205" s="179" t="s">
        <v>874</v>
      </c>
      <c r="F205" s="179" t="s">
        <v>875</v>
      </c>
      <c r="G205" s="181">
        <v>4</v>
      </c>
      <c r="H205" s="182">
        <v>40547</v>
      </c>
      <c r="I205" s="179" t="s">
        <v>893</v>
      </c>
    </row>
    <row r="206" spans="2:9">
      <c r="B206" s="179">
        <v>904174</v>
      </c>
      <c r="C206" s="180">
        <v>5175</v>
      </c>
      <c r="D206" s="179" t="s">
        <v>886</v>
      </c>
      <c r="E206" s="179" t="s">
        <v>874</v>
      </c>
      <c r="F206" s="179" t="s">
        <v>875</v>
      </c>
      <c r="G206" s="181">
        <v>4</v>
      </c>
      <c r="H206" s="182">
        <v>40554</v>
      </c>
      <c r="I206" s="179" t="s">
        <v>893</v>
      </c>
    </row>
    <row r="207" spans="2:9">
      <c r="B207" s="179">
        <v>268234</v>
      </c>
      <c r="C207" s="180">
        <v>5200</v>
      </c>
      <c r="D207" s="179" t="s">
        <v>895</v>
      </c>
      <c r="E207" s="179" t="s">
        <v>874</v>
      </c>
      <c r="F207" s="179" t="s">
        <v>875</v>
      </c>
      <c r="G207" s="181">
        <v>1.5</v>
      </c>
      <c r="H207" s="182">
        <v>40549</v>
      </c>
      <c r="I207" s="179" t="s">
        <v>876</v>
      </c>
    </row>
    <row r="208" spans="2:9">
      <c r="B208" s="179">
        <v>66388</v>
      </c>
      <c r="C208" s="180">
        <v>5225</v>
      </c>
      <c r="D208" s="179" t="s">
        <v>1010</v>
      </c>
      <c r="E208" s="179" t="s">
        <v>884</v>
      </c>
      <c r="F208" s="179" t="s">
        <v>875</v>
      </c>
      <c r="G208" s="181">
        <v>8</v>
      </c>
      <c r="H208" s="182">
        <v>40550</v>
      </c>
      <c r="I208" s="179" t="s">
        <v>896</v>
      </c>
    </row>
    <row r="209" spans="2:9">
      <c r="B209" s="179">
        <v>209328</v>
      </c>
      <c r="C209" s="180">
        <v>5250</v>
      </c>
      <c r="D209" s="179" t="s">
        <v>1011</v>
      </c>
      <c r="E209" s="179" t="s">
        <v>874</v>
      </c>
      <c r="F209" s="179" t="s">
        <v>875</v>
      </c>
      <c r="G209" s="181">
        <v>1.75</v>
      </c>
      <c r="H209" s="182">
        <v>40546</v>
      </c>
      <c r="I209" s="179" t="s">
        <v>891</v>
      </c>
    </row>
    <row r="210" spans="2:9">
      <c r="B210" s="179">
        <v>27178</v>
      </c>
      <c r="C210" s="180">
        <v>5275</v>
      </c>
      <c r="D210" s="179" t="s">
        <v>1012</v>
      </c>
      <c r="E210" s="179" t="s">
        <v>874</v>
      </c>
      <c r="F210" s="179" t="s">
        <v>875</v>
      </c>
      <c r="G210" s="181">
        <v>8</v>
      </c>
      <c r="H210" s="182">
        <v>40554</v>
      </c>
      <c r="I210" s="179" t="s">
        <v>893</v>
      </c>
    </row>
    <row r="211" spans="2:9">
      <c r="B211" s="179">
        <v>129044</v>
      </c>
      <c r="C211" s="180">
        <v>5300</v>
      </c>
      <c r="D211" s="179" t="s">
        <v>1013</v>
      </c>
      <c r="E211" s="179" t="s">
        <v>874</v>
      </c>
      <c r="F211" s="179" t="s">
        <v>875</v>
      </c>
      <c r="G211" s="181">
        <v>1</v>
      </c>
      <c r="H211" s="182">
        <v>40554</v>
      </c>
      <c r="I211" s="179" t="s">
        <v>893</v>
      </c>
    </row>
    <row r="212" spans="2:9">
      <c r="B212" s="179">
        <v>560101</v>
      </c>
      <c r="C212" s="180">
        <v>5325</v>
      </c>
      <c r="D212" s="179" t="s">
        <v>1014</v>
      </c>
      <c r="E212" s="179" t="s">
        <v>874</v>
      </c>
      <c r="F212" s="179" t="s">
        <v>875</v>
      </c>
      <c r="G212" s="181">
        <v>1.5</v>
      </c>
      <c r="H212" s="182">
        <v>40549</v>
      </c>
      <c r="I212" s="179" t="s">
        <v>876</v>
      </c>
    </row>
    <row r="213" spans="2:9">
      <c r="B213" s="179">
        <v>162126</v>
      </c>
      <c r="C213" s="180">
        <v>5350</v>
      </c>
      <c r="D213" s="179" t="s">
        <v>935</v>
      </c>
      <c r="E213" s="179" t="s">
        <v>874</v>
      </c>
      <c r="F213" s="179" t="s">
        <v>875</v>
      </c>
      <c r="G213" s="181">
        <v>3</v>
      </c>
      <c r="H213" s="182">
        <v>40549</v>
      </c>
      <c r="I213" s="179" t="s">
        <v>876</v>
      </c>
    </row>
    <row r="214" spans="2:9">
      <c r="B214" s="179">
        <v>694606</v>
      </c>
      <c r="C214" s="180">
        <v>5375</v>
      </c>
      <c r="D214" s="179" t="s">
        <v>942</v>
      </c>
      <c r="E214" s="179" t="s">
        <v>874</v>
      </c>
      <c r="F214" s="179" t="s">
        <v>875</v>
      </c>
      <c r="G214" s="181">
        <v>2</v>
      </c>
      <c r="H214" s="182">
        <v>40547</v>
      </c>
      <c r="I214" s="179" t="s">
        <v>893</v>
      </c>
    </row>
    <row r="215" spans="2:9">
      <c r="B215" s="179">
        <v>968003</v>
      </c>
      <c r="C215" s="180">
        <v>5400</v>
      </c>
      <c r="D215" s="179" t="s">
        <v>1015</v>
      </c>
      <c r="E215" s="179" t="s">
        <v>874</v>
      </c>
      <c r="F215" s="179" t="s">
        <v>875</v>
      </c>
      <c r="G215" s="181">
        <v>3</v>
      </c>
      <c r="H215" s="182">
        <v>40555</v>
      </c>
      <c r="I215" s="179" t="s">
        <v>880</v>
      </c>
    </row>
  </sheetData>
  <autoFilter ref="B2:I215" xr:uid="{617B9403-103A-4BEE-A004-7F34AF505C34}"/>
  <mergeCells count="2">
    <mergeCell ref="T3:U3"/>
    <mergeCell ref="T7:W7"/>
  </mergeCells>
  <pageMargins left="0.75" right="0.75" top="1" bottom="1" header="0.5" footer="0.5"/>
  <pageSetup scale="70" fitToHeight="0" orientation="landscape"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C74F2-4FD3-4EB8-85EF-7D159923DC41}">
  <sheetPr codeName="Sheet31"/>
  <dimension ref="A1:F30"/>
  <sheetViews>
    <sheetView showOutlineSymbols="0" showWhiteSpace="0" workbookViewId="0"/>
  </sheetViews>
  <sheetFormatPr defaultRowHeight="14.4"/>
  <cols>
    <col min="1" max="1" width="116.88671875" customWidth="1"/>
    <col min="2" max="2" width="5.88671875" customWidth="1"/>
    <col min="3" max="6" width="13.6640625" customWidth="1"/>
    <col min="7" max="7" width="123.77734375" customWidth="1"/>
  </cols>
  <sheetData>
    <row r="1" spans="1:6" ht="15.6">
      <c r="A1" s="54" t="s">
        <v>438</v>
      </c>
      <c r="B1" s="339" t="s">
        <v>402</v>
      </c>
      <c r="C1" s="339"/>
      <c r="D1" s="339"/>
      <c r="E1" s="339"/>
      <c r="F1" s="339"/>
    </row>
    <row r="2" spans="1:6" ht="15.6">
      <c r="A2" s="51" t="s">
        <v>409</v>
      </c>
      <c r="B2" s="339" t="s">
        <v>403</v>
      </c>
      <c r="C2" s="339"/>
      <c r="D2" s="339"/>
      <c r="E2" s="339"/>
      <c r="F2" s="339"/>
    </row>
    <row r="3" spans="1:6" ht="31.2">
      <c r="A3" s="51" t="s">
        <v>410</v>
      </c>
      <c r="B3" s="50" t="s">
        <v>15</v>
      </c>
      <c r="C3" s="50" t="s">
        <v>16</v>
      </c>
      <c r="D3" s="50" t="s">
        <v>17</v>
      </c>
      <c r="E3" s="50" t="s">
        <v>18</v>
      </c>
      <c r="F3" s="50" t="s">
        <v>19</v>
      </c>
    </row>
    <row r="4" spans="1:6" ht="15.6">
      <c r="A4" s="51" t="s">
        <v>411</v>
      </c>
      <c r="B4" s="7">
        <v>1</v>
      </c>
      <c r="C4" s="7" t="s">
        <v>20</v>
      </c>
      <c r="D4" s="7" t="s">
        <v>21</v>
      </c>
      <c r="E4" s="7" t="s">
        <v>22</v>
      </c>
      <c r="F4" s="9">
        <v>5000</v>
      </c>
    </row>
    <row r="5" spans="1:6" ht="15.6">
      <c r="A5" s="51" t="s">
        <v>412</v>
      </c>
      <c r="B5" s="7">
        <v>2</v>
      </c>
      <c r="C5" s="7" t="s">
        <v>23</v>
      </c>
      <c r="D5" s="7" t="s">
        <v>24</v>
      </c>
      <c r="E5" s="7" t="s">
        <v>22</v>
      </c>
      <c r="F5" s="9">
        <v>3500</v>
      </c>
    </row>
    <row r="6" spans="1:6" ht="15.6">
      <c r="A6" s="51" t="s">
        <v>413</v>
      </c>
      <c r="B6" s="7">
        <v>3</v>
      </c>
      <c r="C6" s="7" t="s">
        <v>25</v>
      </c>
      <c r="D6" s="7" t="s">
        <v>26</v>
      </c>
      <c r="E6" s="7" t="s">
        <v>27</v>
      </c>
      <c r="F6" s="9">
        <v>7000</v>
      </c>
    </row>
    <row r="7" spans="1:6" ht="15.6">
      <c r="A7" s="52" t="s">
        <v>414</v>
      </c>
      <c r="B7" s="7">
        <v>4</v>
      </c>
      <c r="C7" s="7" t="s">
        <v>28</v>
      </c>
      <c r="D7" s="7" t="s">
        <v>24</v>
      </c>
      <c r="E7" s="7" t="s">
        <v>27</v>
      </c>
      <c r="F7" s="9">
        <v>4000</v>
      </c>
    </row>
    <row r="8" spans="1:6" ht="15.6">
      <c r="A8" s="52" t="s">
        <v>415</v>
      </c>
      <c r="B8" s="7">
        <v>5</v>
      </c>
      <c r="C8" s="7" t="s">
        <v>29</v>
      </c>
      <c r="D8" s="7" t="s">
        <v>26</v>
      </c>
      <c r="E8" s="7" t="s">
        <v>22</v>
      </c>
      <c r="F8" s="9">
        <v>8000</v>
      </c>
    </row>
    <row r="9" spans="1:6" ht="15.6">
      <c r="A9" s="52" t="s">
        <v>416</v>
      </c>
      <c r="B9" s="7">
        <v>6</v>
      </c>
      <c r="C9" s="7" t="s">
        <v>404</v>
      </c>
      <c r="D9" s="7" t="s">
        <v>24</v>
      </c>
      <c r="E9" s="7" t="s">
        <v>27</v>
      </c>
      <c r="F9" s="9">
        <v>3780</v>
      </c>
    </row>
    <row r="10" spans="1:6" ht="15.6">
      <c r="A10" s="52" t="s">
        <v>417</v>
      </c>
      <c r="B10" s="7">
        <v>7</v>
      </c>
      <c r="C10" s="7" t="s">
        <v>405</v>
      </c>
      <c r="D10" s="7" t="s">
        <v>21</v>
      </c>
      <c r="E10" s="7" t="s">
        <v>27</v>
      </c>
      <c r="F10" s="9">
        <v>4200</v>
      </c>
    </row>
    <row r="11" spans="1:6" ht="15.6">
      <c r="A11" s="51" t="s">
        <v>418</v>
      </c>
      <c r="B11" s="7">
        <v>8</v>
      </c>
      <c r="C11" s="7" t="s">
        <v>406</v>
      </c>
      <c r="D11" s="7" t="s">
        <v>21</v>
      </c>
      <c r="E11" s="7" t="s">
        <v>22</v>
      </c>
      <c r="F11" s="9">
        <v>5000</v>
      </c>
    </row>
    <row r="12" spans="1:6" ht="15.6">
      <c r="A12" s="52" t="s">
        <v>419</v>
      </c>
      <c r="B12" s="7">
        <v>9</v>
      </c>
      <c r="C12" s="7" t="s">
        <v>407</v>
      </c>
      <c r="D12" s="7" t="s">
        <v>21</v>
      </c>
      <c r="E12" s="7" t="s">
        <v>27</v>
      </c>
      <c r="F12" s="9">
        <v>3800</v>
      </c>
    </row>
    <row r="13" spans="1:6" ht="15.6">
      <c r="A13" s="52" t="s">
        <v>420</v>
      </c>
      <c r="B13" s="7">
        <v>10</v>
      </c>
      <c r="C13" s="7" t="s">
        <v>408</v>
      </c>
      <c r="D13" s="7" t="s">
        <v>24</v>
      </c>
      <c r="E13" s="7" t="s">
        <v>22</v>
      </c>
      <c r="F13" s="9">
        <v>2500</v>
      </c>
    </row>
    <row r="14" spans="1:6" ht="15.6">
      <c r="A14" s="52" t="s">
        <v>421</v>
      </c>
    </row>
    <row r="15" spans="1:6" ht="15.6">
      <c r="A15" s="51" t="s">
        <v>422</v>
      </c>
    </row>
    <row r="16" spans="1:6" ht="15.6">
      <c r="A16" s="51" t="s">
        <v>423</v>
      </c>
    </row>
    <row r="17" spans="1:1" ht="15.6">
      <c r="A17" s="51" t="s">
        <v>424</v>
      </c>
    </row>
    <row r="18" spans="1:1" ht="31.2">
      <c r="A18" s="52" t="s">
        <v>425</v>
      </c>
    </row>
    <row r="19" spans="1:1" ht="15.6">
      <c r="A19" s="51" t="s">
        <v>426</v>
      </c>
    </row>
    <row r="20" spans="1:1" ht="15.6">
      <c r="A20" s="51" t="s">
        <v>427</v>
      </c>
    </row>
    <row r="21" spans="1:1" ht="15.6">
      <c r="A21" s="51" t="s">
        <v>428</v>
      </c>
    </row>
    <row r="22" spans="1:1" ht="31.2">
      <c r="A22" s="51" t="s">
        <v>429</v>
      </c>
    </row>
    <row r="23" spans="1:1" ht="15.6">
      <c r="A23" s="51" t="s">
        <v>430</v>
      </c>
    </row>
    <row r="24" spans="1:1" ht="15.6">
      <c r="A24" s="51" t="s">
        <v>431</v>
      </c>
    </row>
    <row r="25" spans="1:1" ht="15.6">
      <c r="A25" s="51" t="s">
        <v>432</v>
      </c>
    </row>
    <row r="26" spans="1:1" ht="15.6">
      <c r="A26" s="51" t="s">
        <v>433</v>
      </c>
    </row>
    <row r="27" spans="1:1" ht="31.2">
      <c r="A27" s="51" t="s">
        <v>434</v>
      </c>
    </row>
    <row r="28" spans="1:1" ht="15.6">
      <c r="A28" s="51" t="s">
        <v>435</v>
      </c>
    </row>
    <row r="29" spans="1:1" ht="15.6">
      <c r="A29" s="51" t="s">
        <v>436</v>
      </c>
    </row>
    <row r="30" spans="1:1" ht="15.6">
      <c r="A30" s="53" t="s">
        <v>437</v>
      </c>
    </row>
  </sheetData>
  <mergeCells count="2">
    <mergeCell ref="B1:F1"/>
    <mergeCell ref="B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Cell Ref</vt:lpstr>
      <vt:lpstr>Sample A</vt:lpstr>
      <vt:lpstr>Range Names</vt:lpstr>
      <vt:lpstr>Sample 1</vt:lpstr>
      <vt:lpstr>Array Formula</vt:lpstr>
      <vt:lpstr>Sample 2</vt:lpstr>
      <vt:lpstr>Dates</vt:lpstr>
      <vt:lpstr>If Functions</vt:lpstr>
      <vt:lpstr>Sample 11</vt:lpstr>
      <vt:lpstr>Vlookup &amp; HLookup</vt:lpstr>
      <vt:lpstr>Sample 5</vt:lpstr>
      <vt:lpstr>Exer1</vt:lpstr>
      <vt:lpstr>Vlookup_Exercise</vt:lpstr>
      <vt:lpstr>Pivot Tables</vt:lpstr>
      <vt:lpstr>Exer9</vt:lpstr>
      <vt:lpstr>Types of Charts</vt:lpstr>
      <vt:lpstr>Exer 9a</vt:lpstr>
      <vt:lpstr>What-if-analysis</vt:lpstr>
      <vt:lpstr>Sample 10</vt:lpstr>
      <vt:lpstr>Solver</vt:lpstr>
      <vt:lpstr>SUM IF &amp; COUNT IF &amp; SUM PROD</vt:lpstr>
      <vt:lpstr>Exer12</vt:lpstr>
      <vt:lpstr>Final Exam</vt:lpstr>
      <vt:lpstr>BASIC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Taranveer Singh</dc:creator>
  <cp:lastModifiedBy>Adithya V S</cp:lastModifiedBy>
  <cp:lastPrinted>2025-08-26T09:46:42Z</cp:lastPrinted>
  <dcterms:created xsi:type="dcterms:W3CDTF">2015-06-05T18:17:20Z</dcterms:created>
  <dcterms:modified xsi:type="dcterms:W3CDTF">2026-08-17T06:14:51Z</dcterms:modified>
</cp:coreProperties>
</file>